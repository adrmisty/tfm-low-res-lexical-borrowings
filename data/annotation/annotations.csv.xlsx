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ria\Desktop\TFM\Dev\tfm-low-res-lexical-borrowings\data\annotation\"/>
    </mc:Choice>
  </mc:AlternateContent>
  <xr:revisionPtr revIDLastSave="0" documentId="13_ncr:1_{81B1E15C-45B7-467D-B412-E61142ED8876}" xr6:coauthVersionLast="47" xr6:coauthVersionMax="47" xr10:uidLastSave="{00000000-0000-0000-0000-000000000000}"/>
  <bookViews>
    <workbookView xWindow="-90" yWindow="0" windowWidth="19330" windowHeight="10890" activeTab="1" xr2:uid="{00000000-000D-0000-FFFF-FFFF00000000}"/>
  </bookViews>
  <sheets>
    <sheet name="Annotations (unbalanced)" sheetId="1" r:id="rId1"/>
    <sheet name="Annotations (split)" sheetId="3" r:id="rId2"/>
  </sheets>
  <definedNames>
    <definedName name="_xlnm._FilterDatabase" localSheetId="1" hidden="1">'Annotations (split)'!$G$1:$G$301</definedName>
    <definedName name="_xlnm._FilterDatabase" localSheetId="0" hidden="1">'Annotations (unbalanced)'!$H$1:$H$1000</definedName>
  </definedNames>
  <calcPr calcId="181029"/>
  <extLst>
    <ext uri="GoogleSheetsCustomDataVersion2">
      <go:sheetsCustomData xmlns:go="http://customooxmlschemas.google.com/" r:id="rId6" roundtripDataChecksum="hpdf/MvFZzgTe5cFVfjdjJ6K8I4BSo02avSmHIsQCB0="/>
    </ext>
  </extLst>
</workbook>
</file>

<file path=xl/calcChain.xml><?xml version="1.0" encoding="utf-8"?>
<calcChain xmlns="http://schemas.openxmlformats.org/spreadsheetml/2006/main">
  <c r="N55" i="3" l="1"/>
  <c r="M55" i="3"/>
  <c r="L55" i="3"/>
  <c r="N54" i="3"/>
  <c r="M54" i="3"/>
  <c r="L54" i="3"/>
  <c r="N53" i="3"/>
  <c r="M53" i="3"/>
  <c r="L53" i="3"/>
  <c r="N52" i="3"/>
  <c r="M52" i="3"/>
  <c r="L52" i="3"/>
</calcChain>
</file>

<file path=xl/sharedStrings.xml><?xml version="1.0" encoding="utf-8"?>
<sst xmlns="http://schemas.openxmlformats.org/spreadsheetml/2006/main" count="4007" uniqueCount="1870">
  <si>
    <t>lang</t>
  </si>
  <si>
    <t>term</t>
  </si>
  <si>
    <t>sentence</t>
  </si>
  <si>
    <t>IS_VALID_LOAN</t>
  </si>
  <si>
    <t>OTHER_LOANS</t>
  </si>
  <si>
    <t>NOTES</t>
  </si>
  <si>
    <t>CHANGES</t>
  </si>
  <si>
    <t>type</t>
  </si>
  <si>
    <t>source_page</t>
  </si>
  <si>
    <t>native</t>
  </si>
  <si>
    <t>ast</t>
  </si>
  <si>
    <t>tiza</t>
  </si>
  <si>
    <t>Debíu a la conquista británica caltiénense un gran númberu d'anglicismos como por exemplu "xoc" ('tiza', n'inglés chalk; en catalán estándar "guix").</t>
  </si>
  <si>
    <t>metalinguistic</t>
  </si>
  <si>
    <t>wiktionary_es</t>
  </si>
  <si>
    <t>Menorca</t>
  </si>
  <si>
    <t>pixeles</t>
  </si>
  <si>
    <t>Tien una pantalla de 7.9 pulgaes, un procesador A5 (el mesmu que'l iPad 2), una cámara FaceTime con 1.2 Mpx (cámara fronteru), una cámara iSight con grabación de videos a 1080p de 5 Mpx (cámara trasera), teunoloxía de redes móviles 4G LTE, amás de tener equivalencia a un procesador de doble nucleu y más de 275 000 aplicaciones llistes pa descargar dende la App Store por cuenta de que tien el mesma resolución que l'iPad 2, 1024 × 768 pixeles con una densidá de 163 ppp.</t>
  </si>
  <si>
    <t>iPad, FaceTime, iSight, App Store</t>
  </si>
  <si>
    <t>named entities</t>
  </si>
  <si>
    <t>noun_plural_native</t>
  </si>
  <si>
    <t>IPad</t>
  </si>
  <si>
    <t>filme</t>
  </si>
  <si>
    <t>En 1985, torna a Nueva York pa rodar un filme más acorde a lo que xeneralmente s'espera d'él, una semeya de los baxos fondos neoyorquinos.</t>
  </si>
  <si>
    <t>wiktionary_en</t>
  </si>
  <si>
    <t>Martin Scorsese</t>
  </si>
  <si>
    <t>película</t>
  </si>
  <si>
    <t>cangrexu</t>
  </si>
  <si>
    <t>El cangrexu de ríu (xen.</t>
  </si>
  <si>
    <t>phonological change</t>
  </si>
  <si>
    <t>cangrejo &gt; cangrexu</t>
  </si>
  <si>
    <t>Carcinus maenas</t>
  </si>
  <si>
    <t>andarica</t>
  </si>
  <si>
    <t>tags</t>
  </si>
  <si>
    <t>L'usu de la norma foi sofitáu por IETF language tags, introducíu por RFC 1766 en marzu de 1995, y siguíu por RFC 3066 en xineru de 2001 y por RFC 4646 en setiembre de 2006.</t>
  </si>
  <si>
    <t>code-switch</t>
  </si>
  <si>
    <t>noun_plural_english</t>
  </si>
  <si>
    <t>ISO 639-1</t>
  </si>
  <si>
    <t>cucaracha</t>
  </si>
  <si>
    <t>De forma escepcional la cucaracha oriental ye atraida pola lluz.</t>
  </si>
  <si>
    <t>raw</t>
  </si>
  <si>
    <t>Cucaracha</t>
  </si>
  <si>
    <t>cúcara</t>
  </si>
  <si>
    <t>cudiar</t>
  </si>
  <si>
    <t>El so nome vien del llatín medicina: 'cudiar', 'guarir', 'alicar'.</t>
  </si>
  <si>
    <t>Medicina</t>
  </si>
  <si>
    <t>guarir</t>
  </si>
  <si>
    <t>tag</t>
  </si>
  <si>
    <t>Presentación previa Defensor del títulu:  Alain Prost Constructor defensor:  Mc Laren/TAG Porsche  Escuderíes y pilotos La siguiente tabla amuesa los pilotos confirmaos pal Mundial 1986 de F1, ordenaos según la clasificación del campeonatu de constructores de la temporada anterior.</t>
  </si>
  <si>
    <t>noun_raw</t>
  </si>
  <si>
    <t>Temporada 1986 de Fórmula 1</t>
  </si>
  <si>
    <t>añoranza</t>
  </si>
  <si>
    <t>Col intre del tiempu entamen ceremonies y comíes coleutives pa conmemorar l'asesinatu místicu, en añoranza del padre asesináu.</t>
  </si>
  <si>
    <t>Psicoloxía de la relixón</t>
  </si>
  <si>
    <t>señaldá, murnia</t>
  </si>
  <si>
    <t>chats</t>
  </si>
  <si>
    <t>Pero nun ye sinón hasta los años ´90 cuando se desenvuelven de forma esponencial, gracies al llevantamientu de la prohibición del usu comercial d'Internet, a la nacencia de la World Wide Web (WWW) y la xeneralización de ferramientes como'l corréu electrónicu, los chats y la mensaxería instantánea.</t>
  </si>
  <si>
    <t>Internet, World Wide Web</t>
  </si>
  <si>
    <t>Comunidá virtual</t>
  </si>
  <si>
    <t>interface</t>
  </si>
  <si>
    <t>Esti averamientu ye pa caltener la interface gráfica d'usuariu lo más cenciello dable, conforme coles Human Interface Guidelines.</t>
  </si>
  <si>
    <t>Human Interface Guidelines</t>
  </si>
  <si>
    <t>GParted</t>
  </si>
  <si>
    <t>brazalete</t>
  </si>
  <si>
    <t>El brazalete lleva una resistencia de 1 MOhm, coneutada en serie pa llindar la corriente de cortucircuitu, protexendo al usuariu si tocar cualquier aparatu o componente coneutaos a la rede llétrica.</t>
  </si>
  <si>
    <t>Brazalete antiestáticu</t>
  </si>
  <si>
    <t>falda</t>
  </si>
  <si>
    <t>falda vaquera, con un diseñu paecíu al de los pantalones vaqueros na so parte cimera.</t>
  </si>
  <si>
    <t>Falda</t>
  </si>
  <si>
    <t>Alexandru</t>
  </si>
  <si>
    <t>C.: Alexandru Magnu funda Alexandría n'Exiptu.</t>
  </si>
  <si>
    <t>Sieglu IV e.C.</t>
  </si>
  <si>
    <t>hacks</t>
  </si>
  <si>
    <t>Referencies Enllaces esternos Web oficial (n'inglés) Proyeutu phpBB en SourceForge Hacks pa phpBB Archiváu 2006-08-10 en Wayback Machine Foru de soporte n'asturianu Archiváu 2007-12-23 en Wayback Machine</t>
  </si>
  <si>
    <t>PhpBB</t>
  </si>
  <si>
    <t>hackes</t>
  </si>
  <si>
    <t>Peter Hackes como Paul Moore.</t>
  </si>
  <si>
    <t>uppercase name</t>
  </si>
  <si>
    <t>Broadcast News</t>
  </si>
  <si>
    <t>terraza</t>
  </si>
  <si>
    <t>La terraza soporta un númberu impresionante de construcciones colosales, realizaes en caliar gris procedente del monte axacente.</t>
  </si>
  <si>
    <t>Persépolis</t>
  </si>
  <si>
    <t>post</t>
  </si>
  <si>
    <t>Ver tamién Actuación Comedia Drama Dramatización Dramaturgos Léxicu teatral Ópera Taller de teatru Teatru d'estilu Art Déco Teatru d'estilu isabelín Teatru d'estilu italianu Teatru d'estilu post Teatru de marionetes bunraku Teatru de vanguardia Teatru del absurdu Teatru kabuki Teatru na educación Teatru Nō Traxedia Traxicomedia  Referencies Enllaces esternos Diccionario teatral Archiváu 2006-12-14 en Wayback Machine Post-Theater una revista académica especializada en teatru d'estilu post.</t>
  </si>
  <si>
    <t>homonym</t>
  </si>
  <si>
    <t>Teatru</t>
  </si>
  <si>
    <t>xastre</t>
  </si>
  <si>
    <t>Creció en Long Island col so padrastru que yera un xastre y la so madre que yera una modelu.</t>
  </si>
  <si>
    <t>sastre &gt; xastre</t>
  </si>
  <si>
    <t>Donna Karan</t>
  </si>
  <si>
    <t>escaniar</t>
  </si>
  <si>
    <t>Raymond Vahan Damadian (16 de marzu de 1936, Nueva York – 3 d'agostu de 2022, Woodbury (en) ) foi un médicu, investigador médicu d'Estaos Xuníos ya inventor de la primer máquina d'escaniar por resonancia magnética nuclear (NMR).</t>
  </si>
  <si>
    <t>phonological and morphological change</t>
  </si>
  <si>
    <t>scan &gt; escan &gt; escaniar</t>
  </si>
  <si>
    <t>verb_morph_prescriptive</t>
  </si>
  <si>
    <t>Raymond Vahan Damadian</t>
  </si>
  <si>
    <t>hospital</t>
  </si>
  <si>
    <t>Docencia ya investigación La docencia nun hospital ye un puntu clave na formación de profesionales.</t>
  </si>
  <si>
    <t>Hospital</t>
  </si>
  <si>
    <t>güelga</t>
  </si>
  <si>
    <t>Definición de “güelga” según el Conveniu de Ramsar:  "Una güelga ye una zona de la superficie terrestre que ta temporal o permanentemente anubierta, regulada por factores climáticos y en constante interrellación colos seres vivos que lu habiten".</t>
  </si>
  <si>
    <t>huelga &gt; güelga</t>
  </si>
  <si>
    <t>Güelga</t>
  </si>
  <si>
    <t>hacia</t>
  </si>
  <si>
    <t>Les consonantes articulaes col ápiz de la llingua curvada hacia tras escontra'l cielu la boca llámense retroflexes.</t>
  </si>
  <si>
    <t>Consonante palatal</t>
  </si>
  <si>
    <t>conciencia</t>
  </si>
  <si>
    <t>El puntu de vista D claramente niega la posibilidá de comprensión científica de la conciencia.</t>
  </si>
  <si>
    <t>Conciencia</t>
  </si>
  <si>
    <t>hacha</t>
  </si>
  <si>
    <t>Obres destacaes La noche celta (1991; foi traducida al francés) El okupa (1997) El hacha de bronce (1998) Brindis de sangre (2010)  Premios Medaya de plata d'Asturies nel añu 2003.</t>
  </si>
  <si>
    <t>Juan Noriega</t>
  </si>
  <si>
    <t>hachu</t>
  </si>
  <si>
    <t>piraña</t>
  </si>
  <si>
    <t>Patrulla Piraña La nueva manera de Mario Kart 8 Deluxe, llamáu Patrulla Piraña, que rique'l xuegu por equipos.</t>
  </si>
  <si>
    <t>Mario Kart 8 Deluxe</t>
  </si>
  <si>
    <t>cai</t>
  </si>
  <si>
    <t>L'avenida Broadway [ˈbɹɑːdweɪ] («Camín ampliu» n'asturianu) ye, xunto cola Quinta Avenida, la cai más famosa de Manhattan.</t>
  </si>
  <si>
    <t>calle &gt; cai</t>
  </si>
  <si>
    <t>Broadway</t>
  </si>
  <si>
    <t>reset</t>
  </si>
  <si>
    <t>Parte cimeru: Atópase'l llector CD, allúguense los botones d'encendíu y apagáu y el de reinicio (reset), d'últimes ta'l botón p'abrir la tapa del llector de CD.</t>
  </si>
  <si>
    <t>CD</t>
  </si>
  <si>
    <t>PlayStation</t>
  </si>
  <si>
    <t>arzobispu</t>
  </si>
  <si>
    <t>L'obispu de Urgell, tamién en Cataluña (España), que de la mesma, por razón del so cargu episcopal, ye coprincipe d'Andorra, suel ser estremáu col títulu d'Arzobispu "ad personam", esto ye, solamente pa él y non pa la diócesis.</t>
  </si>
  <si>
    <t>arzobispo &gt; arzobispu</t>
  </si>
  <si>
    <t>Arzobispu</t>
  </si>
  <si>
    <t>planchar</t>
  </si>
  <si>
    <t>Hamachi kama - quexal y pómulu d'atún de cola mariella a planchar.</t>
  </si>
  <si>
    <t>Gastronomía de Xapón</t>
  </si>
  <si>
    <t>deuda</t>
  </si>
  <si>
    <t>El serviciu de la deuda esterna, que yera de 1.588 millones de dólares en 2006, consumía'l 12,2% del presupuestu del país.</t>
  </si>
  <si>
    <t>Albania</t>
  </si>
  <si>
    <t>app</t>
  </si>
  <si>
    <t>Esta foi una carauterística bien criticada nel so momentu, tal foi'l grau qu'a partir de iOS 8 yá se dexa l'usu d'Adobe Flash; sicasí los posesores d'un iPhone, iPod touch o iPad con una versión anterior a iOS 8 quedaron fora d'esto; pero d'igual forma puede añader Adobe Flash mercando un navegador especial na App Store o faciendo'l Jailbreak pa poder utilizalo en Safari (esto postreru anularía la garantía).</t>
  </si>
  <si>
    <t>Ios, Adobe Flash, iPhone, iPod Touch, iPad, App Store, Jailbreak, Safari</t>
  </si>
  <si>
    <t>IOS</t>
  </si>
  <si>
    <t>onlines</t>
  </si>
  <si>
    <t>Iron Man 3 Adaptation Captain America: The Winter Soldier Adaptation  Comics esclusivos Iron Man: The Price of Doing Business (Non canon) Iron Man: Security Measures (Canon) The Incredible Hulk: The Big Picture (Canon) Iron Man: Limited Edition (Adautación) Iron Man: Will Onlines Evil Prevails?</t>
  </si>
  <si>
    <t>english text</t>
  </si>
  <si>
    <t>Universu cinematográficu de Marvel</t>
  </si>
  <si>
    <t>chat</t>
  </si>
  <si>
    <t>N'ochobre de 2010, Skype 5.0 para Windows foi lliberada con un conxuntu de complementos y nueves funciones, ente les más importantes, la inclusión d'una pestaña de Facebook que dexa a los sos usuarios unviar mensaxes SMS, efectuar chat o llamar a los sos amigos de Facebook, direutamente del Feed de Noticies.</t>
  </si>
  <si>
    <r>
      <rPr>
        <sz val="11"/>
        <color theme="1"/>
        <rFont val="Aptos Narrow"/>
      </rPr>
      <t xml:space="preserve">Skype, Windows, Facebook, SMS; </t>
    </r>
    <r>
      <rPr>
        <b/>
        <sz val="11"/>
        <color theme="1"/>
        <rFont val="Aptos Narrow"/>
      </rPr>
      <t>feed</t>
    </r>
  </si>
  <si>
    <t>Skype</t>
  </si>
  <si>
    <t>llevadura</t>
  </si>
  <si>
    <t>Poro, emplégase en muncho procesos de formentación industrial, de mena asemeyada a la llevadura químico, por exemplu na producción de cerveza, vinu, hidromiel, pan, producción d'antibióticos, etc.</t>
  </si>
  <si>
    <t>levadura &gt; llevadura</t>
  </si>
  <si>
    <t>Lleldu</t>
  </si>
  <si>
    <t>users</t>
  </si>
  <si>
    <t>http://www.nlm.nih.gov/medlineplus/spanish/ency/article/000045.htm http://www.ambitoweb.com/servicios/salud/manual12.asp Archiváu 2006-08-26 en Wayback Machine http://escuela.med.puc.cl/publ/patologiageneral/Patol_049.html Archiváu 2016-05-09 en Wayback Machine http://www.salud.bioetica.org/shock.htm http://www.ctv.es/USERS/sos/aparcirc.htm#ppaashhi</t>
  </si>
  <si>
    <t>Hemorraxa</t>
  </si>
  <si>
    <t>echar</t>
  </si>
  <si>
    <t>Na diabetes grave, al nun poder l'organismu echar mano de los carbohidratos pa obtener enerxía, recurre a la oxidación de les proteínes, lo qu'ocasiona un balance nitroxenáu negativu qu'aumenta l'endelgazamientu y amenorga la masa del texíu muscular.</t>
  </si>
  <si>
    <t>Diabetes mellitus</t>
  </si>
  <si>
    <t>retrete</t>
  </si>
  <si>
    <t>Retrete a la turca, retrete turcu o placa turca: tratar d'un retrete ensin taza: un furacu nel pisu, con dos sitios axacentes pa sofitar los pies.</t>
  </si>
  <si>
    <t>Retrete</t>
  </si>
  <si>
    <t>pixels</t>
  </si>
  <si>
    <t>En toles maneres, puede amosar hasta 128 'sprites' (pequeños oxetos móviles individuales) de 8×8 hasta 64×64 pixels en color indizáu de 4 o 8 bits.</t>
  </si>
  <si>
    <t>sprites, bits</t>
  </si>
  <si>
    <t>tech</t>
  </si>
  <si>
    <t>Game Boy Advance</t>
  </si>
  <si>
    <t>furacán</t>
  </si>
  <si>
    <t>El Furacán Camille evitó condiciones de seca y terminó col déficit d'agua en gran parte del so percorríu.</t>
  </si>
  <si>
    <t>huracán &gt; furacán</t>
  </si>
  <si>
    <t>Ciclón tropical</t>
  </si>
  <si>
    <t>guai</t>
  </si>
  <si>
    <t>Empléguense tamién otres armes más convencionales, como'l palu (gun), llanza (qiang), cayada (guai), espada de ganchu (gou) y la espada reuta y de doble filu (jian).</t>
  </si>
  <si>
    <t>Bagua</t>
  </si>
  <si>
    <t>paella</t>
  </si>
  <si>
    <t>Iberus gualtieranus alonensis, la baqueta o serrana, apreciadísima na Comunidá Valenciana, Rexón de Murcia y sur de Cataluña y Aragón; utilícense especialmente pa la ellaboración de la paella.</t>
  </si>
  <si>
    <t>Cascoxu</t>
  </si>
  <si>
    <t>desarrollar</t>
  </si>
  <si>
    <t>Bután ye tamién un país pioneru en desarrollar el conceptu de felicidá nacional bruta.</t>
  </si>
  <si>
    <t>Bután</t>
  </si>
  <si>
    <t>haiga</t>
  </si>
  <si>
    <t>Mientres los sos compañeros, guardias de casa presidencial, solíen dicir: «haiga» y «naide», Romeo escribía coses como: «sois chacales buscando un cadáver que roer».</t>
  </si>
  <si>
    <t>Carlos Castillo Armas</t>
  </si>
  <si>
    <t>lladriyu</t>
  </si>
  <si>
    <t>El nome provién de les plantíes qu'utilizaben los canteros pa llabrar les piedres, y que s'utilicen pa dar la citada forma al lladriyu.</t>
  </si>
  <si>
    <t>llabrar</t>
  </si>
  <si>
    <t>ladrillo &gt; lladriyu; labrar &gt; llabrar</t>
  </si>
  <si>
    <t>Lladriyu</t>
  </si>
  <si>
    <t>click</t>
  </si>
  <si>
    <t>Soníos click (n'alemán) Archiváu 2011-11-15 en Wayback Machine Klaus Wagner: Einführung in Phonetik und Phonologie Die Sprachen Afrikas Archiváu 2007-06-27 en Wayback Machine Gibt ye primitive Sprachen?</t>
  </si>
  <si>
    <t>Chasquíu consonánticu</t>
  </si>
  <si>
    <t>cerveza</t>
  </si>
  <si>
    <t>Cerveza ambrée (Dorao) Cerveza blanco o de trigu Bière blanche.</t>
  </si>
  <si>
    <t>Cerveza</t>
  </si>
  <si>
    <t>botes</t>
  </si>
  <si>
    <t>Anque la mayoría de los xugadores empleguen un tipu de calzáu específico denomináu, ente otres maneres, «botes de fútbol», les regles nun especifiquen que tengan tacos.</t>
  </si>
  <si>
    <t>Equipamientu de los futbolistes</t>
  </si>
  <si>
    <t>rodiya</t>
  </si>
  <si>
    <t>El “fouetté bas” (circular cola rodiya) correspuéndese aproximao col low-kick circular de les otres disciplines.</t>
  </si>
  <si>
    <t>low-kick</t>
  </si>
  <si>
    <t>phonological change; code-switch</t>
  </si>
  <si>
    <t>rodilla &gt; rodiya</t>
  </si>
  <si>
    <t>Patada baxa</t>
  </si>
  <si>
    <t>tractor</t>
  </si>
  <si>
    <t>Munchos tractores fornen dende va años un sistema de diagnósticu de Bus Can, ye dicir un sistema de dos cables que percuerren tol tractor(can hi y can low) apurriendo información de tolos sensores, potenciómetros, reguladores...</t>
  </si>
  <si>
    <t>can hi, can low</t>
  </si>
  <si>
    <t>Tractor</t>
  </si>
  <si>
    <t>log</t>
  </si>
  <si>
    <t>El términu "blog" vien de les pallabres "web" y "log" (Log n'inglés ye diariu).</t>
  </si>
  <si>
    <t>blog</t>
  </si>
  <si>
    <t>Blogue</t>
  </si>
  <si>
    <t>líder</t>
  </si>
  <si>
    <t>Tres el decesu del primer líder soviéticu, Vladímir Lenin, en 1924, Josif Stalin acabó ganando la llucha pol poder y dirixió’l país a traviés d'una industrialización a gran escala con una economía centralizada y, al mesmu tiempu, con represión política.</t>
  </si>
  <si>
    <t>leader &gt; líder</t>
  </si>
  <si>
    <t>Xunión Soviética</t>
  </si>
  <si>
    <t>postes</t>
  </si>
  <si>
    <t>Pa los partíos d'individuales, si usa una rede d'individuales, los centros de los postes de la rede tán a 0,914 m fora de cada llau de la llinia d'individuales.</t>
  </si>
  <si>
    <t>Tenis</t>
  </si>
  <si>
    <t>linkes</t>
  </si>
  <si>
    <t>Ein Seelengemälde aus dem Alterthume (1888), de Oscar Linkes; Der Kaiser (1890) del exiptólogu alemán Georg Ebers; Antinous oder die Reise eines Kaisers (1955), de Ernst Sommers; y Antinous, Geliebter!</t>
  </si>
  <si>
    <t>Antínoo</t>
  </si>
  <si>
    <t>ban</t>
  </si>
  <si>
    <t>Ban dixo que'l so únicu hobby ye'l golf, pero que solo lo xuega un par de vegaes al añu.</t>
  </si>
  <si>
    <t>Ban Ki-moon</t>
  </si>
  <si>
    <t>tostador</t>
  </si>
  <si>
    <t>Tostador de Lata Ye un aparatu que suel ocupase en cocines a gas.</t>
  </si>
  <si>
    <t>Tostadora</t>
  </si>
  <si>
    <t>Ḥawai</t>
  </si>
  <si>
    <t>Almitíu el 21 d'agostu de 1959, Ḥawai foi l'estáu númberu 50 en xuntase a los Estaos Xuníos.</t>
  </si>
  <si>
    <t>escuchar</t>
  </si>
  <si>
    <t>Ardèche (pronunciación en francés: /aʁdɛʃ/( escuchar), occitanu: Ardecha, francoprovenzal: Ardecha) ye un departamentu francés de la rexón d'Auvernia-Ródanu-Alpes.</t>
  </si>
  <si>
    <t>Ardèche</t>
  </si>
  <si>
    <t>abetu</t>
  </si>
  <si>
    <t>idahoensis Abies concolor — Abetu del Colorado Abies concolor subsp.</t>
  </si>
  <si>
    <t>abeto &gt; abetu</t>
  </si>
  <si>
    <t>Abies</t>
  </si>
  <si>
    <t>tuits</t>
  </si>
  <si>
    <t>Básicamente, trátase de tuits col patrociniu de dalguna empresa qu'apaecen como primer resultancia cuando realicemos una busca de mensaxes nel serviciu.</t>
  </si>
  <si>
    <t>tweets &gt; tuits</t>
  </si>
  <si>
    <t>Twitter</t>
  </si>
  <si>
    <t>seguridá</t>
  </si>
  <si>
    <t>En munchos países escarecen de controles de seguridá y escáneres de metal, pero adulces fuéronse incorporando.</t>
  </si>
  <si>
    <t>seguridad &gt; seguridá</t>
  </si>
  <si>
    <t>Aeropuertu</t>
  </si>
  <si>
    <t>chates</t>
  </si>
  <si>
    <t>Los xéneros Eustephia, Hieronymiella y Chlidanthus presenten granes seques, chates y discoideas.</t>
  </si>
  <si>
    <t>Amaryllidaceae</t>
  </si>
  <si>
    <t>llexos</t>
  </si>
  <si>
    <t>llexos (Castellanu: lejos) (Asturianu: lloñe/llonxe) ocho dende'l Castellanu: ocho.</t>
  </si>
  <si>
    <t>lejos &gt; llexos</t>
  </si>
  <si>
    <t>Castellanismu (llingüística)</t>
  </si>
  <si>
    <t>lloñe</t>
  </si>
  <si>
    <t>server</t>
  </si>
  <si>
    <t>Otros productos Al pie de Windows y Office, Microsoft cunta con una amplia gama de productos ente los que destaquen:  Biztalk Server: Automatización y xestión de procesos empresariales.</t>
  </si>
  <si>
    <t>Windows, Office, Microsoft</t>
  </si>
  <si>
    <t>Microsoft</t>
  </si>
  <si>
    <t>apps</t>
  </si>
  <si>
    <t>Delles apps por defectu tán reescritas pa tomar ventaya de la pantalla más grande.</t>
  </si>
  <si>
    <t>alambre</t>
  </si>
  <si>
    <t>Al metal que quier convertise n'alambre dáse-y primero la forma d'una barra, y dempués endelgazar y sácase punta a unu de los estremos de la barra pa pasala socesivamente pelos distintos furacos de la filera, de mayor a menor, hasta que la barra de metal quede convertida n'alambre de la grosez deseyada.</t>
  </si>
  <si>
    <t>Alambre</t>
  </si>
  <si>
    <t>aguacate</t>
  </si>
  <si>
    <t>La pallabra guacamole provién del náhuatl ahuacamolli, ‘mueyu d'aguacate'.</t>
  </si>
  <si>
    <t>Persea americana</t>
  </si>
  <si>
    <t>tages</t>
  </si>
  <si>
    <t>Etimoloxía  Tagetes: nome xenéricu que provién de la mitoloxía etrusca Tages.</t>
  </si>
  <si>
    <t>Tagetes nelsonii</t>
  </si>
  <si>
    <t>updates</t>
  </si>
  <si>
    <t>Distribution Atlas of Plants in the Flora Palaestina Área (Flora Palaestina part 5) Online updates: https://web.archive.org/web/20070828033350/http://flora.huji.ac.il/browse.asp?lang=en&amp;action=showfile&amp;fileid=14005  Australasia Flora d'Australia Flora de Nueva Zelanda series: Allan, H.H.</t>
  </si>
  <si>
    <t>Flora</t>
  </si>
  <si>
    <t>clicks</t>
  </si>
  <si>
    <t>Interview mit Christa Kilian-Hatz Archiváu 2005-09-15 en Wayback Machine Exemplos de clicks na llingua !Xóõ Archiváu 2012-06-14 en Wayback Machine</t>
  </si>
  <si>
    <t>format</t>
  </si>
  <si>
    <t>BarcodeRobot Dexa xenerar códigos de barres a partir de númberos ISBN format pdf (n'inglés).</t>
  </si>
  <si>
    <t>ISBN</t>
  </si>
  <si>
    <t>plomu</t>
  </si>
  <si>
    <t>Estudios sobre la conducta Un estudiu realizáu en mayu de 2000 pol consultor económicu Rick Nevin demostró qu'ente un 65 % y un 90 % de los crimen violentos cometíos n'Estaos Xuníos tienen como causa la esposición al plomu.</t>
  </si>
  <si>
    <t>morphological change</t>
  </si>
  <si>
    <t>plomo &gt; plomu</t>
  </si>
  <si>
    <t>Plomu</t>
  </si>
  <si>
    <t>pauta</t>
  </si>
  <si>
    <t>Tien dataose, por datación radiocarbónica, por investigación de la pauta de deforestación y pola variabilidá del ADN mitocondrial na población maorí, alredor de 1250-1300 como la fecha na que pobladores polinesios, dempués d'una llarga serie de viaxes poles islles del Pacíficu sur, aportaron a Nueva Zelanda.</t>
  </si>
  <si>
    <t>Nueva Zelanda</t>
  </si>
  <si>
    <t>arguyu</t>
  </si>
  <si>
    <t>Tamién destaca'l Mardi Gras gai y lésbicu de Sydney qu'a diferencia de les otres marches del arguyu celebrar en febreru, rematando'l branu austral.</t>
  </si>
  <si>
    <t>orgullo &gt; arguyu</t>
  </si>
  <si>
    <t>Día Internacional del Arguyu LGBT</t>
  </si>
  <si>
    <t>xamón</t>
  </si>
  <si>
    <t>Xamón de Huelva, Xamón Ibéricu D.</t>
  </si>
  <si>
    <t>jamón &gt; xamón</t>
  </si>
  <si>
    <t>Xamón</t>
  </si>
  <si>
    <t>tenedor</t>
  </si>
  <si>
    <t>Suel ser emplegáu como tenedor de propósitu xeneral, al igual que'l cuchiellu de mesa y ye por esta razón pola que ye bien habitual na mesa.</t>
  </si>
  <si>
    <t>cuchiellu</t>
  </si>
  <si>
    <t>cuchillo &gt; cuchiellu</t>
  </si>
  <si>
    <t>Cubertería</t>
  </si>
  <si>
    <t>abadexu</t>
  </si>
  <si>
    <t>El cardu yesqueru o cardo abadexu ye la especie Echinops ritro, una planta de la familia de les Asteraceae, natural d'Europa central y meridional, Asia occidental y Siberia.</t>
  </si>
  <si>
    <t>abadejo &gt; abadexu</t>
  </si>
  <si>
    <t>Echinops ritro</t>
  </si>
  <si>
    <t>tuit</t>
  </si>
  <si>
    <t>El llamáu ye un distintivu "tuit", y el soníu tien rápidos trinos y píos.</t>
  </si>
  <si>
    <t>tweet &gt; tuit</t>
  </si>
  <si>
    <t>Linaria flavirostris</t>
  </si>
  <si>
    <t>pixel</t>
  </si>
  <si>
    <t>La llinia de dispositivos Pixel inclúi la tableta Pixel C, los ordenadores portátiles y los teléfonos intelixentes Pixel, y puede mercase al traviés de Google Store o en tiendes minoristes.</t>
  </si>
  <si>
    <t>Google Store</t>
  </si>
  <si>
    <t>Google Pixel</t>
  </si>
  <si>
    <t>impuestu</t>
  </si>
  <si>
    <t>22 de marzu: Estaos Xuníos - Fuerte tensión ente Gran Bretaña y les sos colonies americanes pol votu de la Stamp Act (llei del timbre) qu'aplica un impuestu sobre documentos xurídicos y oficiales, pólices de seguros, xuegos de dados, publicaciones tales como periódicos y llibros, etc.</t>
  </si>
  <si>
    <t>llei</t>
  </si>
  <si>
    <t>impuesto &gt; impuestu; ley &gt; llei</t>
  </si>
  <si>
    <t>llimitar</t>
  </si>
  <si>
    <t>L'Horizonte (del griegu "orizon": llimitar) ye la llinia qu'aparentemente separta'l cielu y la Tierra; ésta llinia involucra un espaciu circular de la superficie de la Tierra.</t>
  </si>
  <si>
    <t>limitar &gt; llimitar</t>
  </si>
  <si>
    <t>Horizonte</t>
  </si>
  <si>
    <t>mariposa</t>
  </si>
  <si>
    <t>Nymphalis californica Polygonia c-album Junonia coenia Libytheana carinenta Hamadryas februa Chlosyne janais Limenitis lorquini Euphydryas aurinia Maniolis jurtina Nymphalis antiopa Danaus plexippus - Mariposa Monarca.</t>
  </si>
  <si>
    <t>Nymphalidae</t>
  </si>
  <si>
    <t>bandera</t>
  </si>
  <si>
    <t>Ye dueñu de tolos derechos asociaos a los símbolos olímpicos, la bandera, himnu, lema, xuramentu y los xuegos.</t>
  </si>
  <si>
    <t>Comité Olímpicu Internacional</t>
  </si>
  <si>
    <t>nivel</t>
  </si>
  <si>
    <t>La utilidá principal de la clasificación ye que nun nivel científicu haya un consensu xeneral y cuasi universal pa establecer un orde esquemáticu sobre la descomanada bayura y diversidá de los organismos.</t>
  </si>
  <si>
    <t>Clasificación biolóxica</t>
  </si>
  <si>
    <t>forwards</t>
  </si>
  <si>
    <t>Pueden cotizase en mercaos entamaos (como les bolses) o extrabursátiles ("OTC")  Tipoloxía Dependiendo del tipu de contratu Operación de permuta financiera («Swaps») Los contratos de futuros, forwards y compraventes a plazu axustaos o non nun mercáu o sistema entamáu de negociación.</t>
  </si>
  <si>
    <t>swaps</t>
  </si>
  <si>
    <t>Deriváu financieru</t>
  </si>
  <si>
    <t>lleva</t>
  </si>
  <si>
    <t>La base de datos fíxose editable pa los autores, lo que lleva a actualizaciones más frecuentes del sitiu web.</t>
  </si>
  <si>
    <t>Mammal Species of the World</t>
  </si>
  <si>
    <t>Don Quixote</t>
  </si>
  <si>
    <t>Principales obres La Galatea (1585) La Numancia (obra de teatru) Los tratos de Argel (teatru) Don Quixote (Parte 1) (1605) Noveles Exemplares (1613) Viaje del Parnaso (poema) Don Quixote (Parte 2) (1615) Persiles y Sigismunda (c.1615)  Referencies Enllaces esternos  Wikimedia Commons acueye conteníu multimedia sobre Miguel de Cervantes.</t>
  </si>
  <si>
    <t>Miguel de Cervantes</t>
  </si>
  <si>
    <t>downloads</t>
  </si>
  <si>
    <t>El procesu d'ataque Drive-by Downloads realizar de manera automática por aciu ferramientes que busquen nel sitiu web dalguna vulnerabilidá.</t>
  </si>
  <si>
    <t>drive-by</t>
  </si>
  <si>
    <t>Malware</t>
  </si>
  <si>
    <t>software</t>
  </si>
  <si>
    <t>Germplasm Resources Information Network o GRIN ye un proyeutu de software en llinia del Programa Nacional de Recursos Xenéticos del Departamentu d'Agricultura de los Estaos Xuníos p'apurrir información de germoplasma de plantes, animales y microbios.</t>
  </si>
  <si>
    <t>Germplasm Resources Information Network</t>
  </si>
  <si>
    <t>clouds</t>
  </si>
  <si>
    <t>Ella ganó'l premiu Rising Star BAFTA en 2010, y convirtióse na primer actriz d'Estaos Xuníos en ganar un Premiu César, cuando ganó a meyor actriz de repartu en 2015 pol so papel xunto a Juliette Binoche en Clouds of Sils Maria (2014).</t>
  </si>
  <si>
    <t>Kristen Stewart</t>
  </si>
  <si>
    <t>user</t>
  </si>
  <si>
    <t>La interfaz gráfica d'usuariu o GUI (n'inglés graphical user interface) La interfaz gráfica de los ordenadores foi diseñada cola fin d'ocultar el verdaderu funcionamientu de la máquina, ya que yera mui complicao pa los usuarios tipo.</t>
  </si>
  <si>
    <t>GUI, graphical user interface</t>
  </si>
  <si>
    <t>Interfaz gráfica d'usuariu</t>
  </si>
  <si>
    <t>hardware</t>
  </si>
  <si>
    <t>Modelu orixinal Hai cinco modelos orixinales de hardware de la PlayStation 3 que son mentaos davezu pol tamañu de la so unidá de discu duru: "20", "40", "60", "80", "160".</t>
  </si>
  <si>
    <t>PlayStation 3</t>
  </si>
  <si>
    <t>nación</t>
  </si>
  <si>
    <t>Por nacionalismu pue entendese:  L'afeición, enclín o ciñu de los ciudadanos a la nación-reconocida o non como tala na llexislación a la que pertenecen.</t>
  </si>
  <si>
    <t>Nacionalismu</t>
  </si>
  <si>
    <t>softwares</t>
  </si>
  <si>
    <t>Cola llegada de iOS 9.1, ye imposible atopar vulnerabilidaes qu'afecten al dispositivu, llevándo-y a Apple, a ocupar el puestu más altu na llista de los softwares más seguros.</t>
  </si>
  <si>
    <t>Apple, Ios</t>
  </si>
  <si>
    <t>update</t>
  </si>
  <si>
    <t>An update of the Angiosperm Phylogeny Group classification for the orders and families of flowering plants: APG II (enllaz rotu disponible n'Internet Archive; ver l'historial y la última versión).</t>
  </si>
  <si>
    <t>Rosales</t>
  </si>
  <si>
    <t>abandonar</t>
  </si>
  <si>
    <t>Costante Girardengo, líder hasta entós, viose obligáu a abandonar mientres l'intre de la 7ª etapa, lo cual dexó'l Giro d'Italia en bandexa a Brunero, vencedor a lo postrero de la carrera.</t>
  </si>
  <si>
    <t>Giro d'Italia 1926</t>
  </si>
  <si>
    <t>servers</t>
  </si>
  <si>
    <t>any @a.root-servers.net Y en un sistema MS DOS, executando: nslookup -type=any vrsn-end-of-zone-marker-dummy-record.root  Ver tamién Pseudodominio de nivel cimeru  Referencies   == Enllaces esternos ==</t>
  </si>
  <si>
    <t>.root</t>
  </si>
  <si>
    <t>link</t>
  </si>
  <si>
    <t>1944 - Anne Robinson, presentadora Inglesa de Weakest Link.</t>
  </si>
  <si>
    <t>26 de setiembre</t>
  </si>
  <si>
    <t>estreames</t>
  </si>
  <si>
    <t>Tamién estudió como estructures fixes los mitos, comprobando qu'en sociedaes estreames dábense histories asemeyaes.</t>
  </si>
  <si>
    <t>Estructuralismu</t>
  </si>
  <si>
    <t>dotor</t>
  </si>
  <si>
    <t>Referencies Enllaces esternos Carlos Dotor na Internet Movie Database (n'inglés) Carlos Dotor en BDFutbol (castellán) Carlos Dotor en LaPreferente (castellán) Carlos Dotor en Soccerway (n'inglés) Carlos Dotor en Transfermarkt (n'inglés) Carlos Dotor en L'Équipe (en francés)</t>
  </si>
  <si>
    <t>Carlos Dotor</t>
  </si>
  <si>
    <t>eu</t>
  </si>
  <si>
    <t>bale</t>
  </si>
  <si>
    <t>Bale zaldia, (Amhareraz: የባህር ፈረስ /yebahiri feresi),  Etiopiako ekialdeko bertako zaldi arraza bat da.</t>
  </si>
  <si>
    <t>Bale zaldi</t>
  </si>
  <si>
    <t>klikatzen</t>
  </si>
  <si>
    <t>Orokorrean bere buztana ahoan daraman herensuge gisa irudikatzen ohi da, bere burua klikatzen dabilena.</t>
  </si>
  <si>
    <t>click &gt; klik &gt; klikatzen</t>
  </si>
  <si>
    <t>verb_habitual</t>
  </si>
  <si>
    <t>Ouroboros</t>
  </si>
  <si>
    <t>homosexualitate</t>
  </si>
  <si>
    <t>Erreferentziak Ikus, gainera Bisexualitate Heterosexualitate Homosexualitate Transexualitate Eskoliosexualitate   == Kanpo estekak ==</t>
  </si>
  <si>
    <t>homosexualidad &gt; homosexualitate</t>
  </si>
  <si>
    <t>Pansexualitate</t>
  </si>
  <si>
    <t>kolonizazio</t>
  </si>
  <si>
    <t>Portugalen mendean egon ondoren (1809-1814), esklabotasunean oinarrituriko kolonizazio frantsesa galdu egin zen hura indarrik gabe utzi zenean (1848-1849).</t>
  </si>
  <si>
    <t>colonización &gt; koloninazio</t>
  </si>
  <si>
    <t>Guyana Frantsesa</t>
  </si>
  <si>
    <t>setio</t>
  </si>
  <si>
    <t>mendekoa, Dapurreko setio bortitzaren erretratua da.</t>
  </si>
  <si>
    <t>Setio</t>
  </si>
  <si>
    <t>seguru</t>
  </si>
  <si>
    <t>Esnekiak antzinatik ezagutzen dira; seguru aski, artzaintza hasi zen garaian bertan tribu nomadak esnea eraldatu eta eratorriak kontsumitzen hasi ziren.</t>
  </si>
  <si>
    <t>seguro &gt; seguru</t>
  </si>
  <si>
    <t>Esneki</t>
  </si>
  <si>
    <t>aberrazio</t>
  </si>
  <si>
    <t>Zehazki, lorpen hauek egin zituen: Ilargian kraterrak, Jupiterren lau ilargi handienak eta Artizarraren faseak aurkitu behatu eta deskribatzeko erabili zuen  Aberrazio kromatikoaren arazoa Galileoren lehenengo diseinuen ondoren, teleskopioen potentzia handiagotu zen heinean, aberrazio kromatikoaren arazo larria agertu zen, irudien kalitatea kaltetuz.</t>
  </si>
  <si>
    <t>aberración &gt; aberrazio</t>
  </si>
  <si>
    <t>Errefrakzio-teleskopio</t>
  </si>
  <si>
    <t>pisu</t>
  </si>
  <si>
    <t>1987an emakumezkoen lehenengo pisu-jasotze txapelketa ospatu zen, eta 1997an Olinpiar Batzordeak emakumeek Joko Olinpikoetan esku hartzea onartu zuen.</t>
  </si>
  <si>
    <t>Halterofilia</t>
  </si>
  <si>
    <t>copyright</t>
  </si>
  <si>
    <t>Copyright &lt;urtea&gt; &lt;copyright jabea(k)&gt;.</t>
  </si>
  <si>
    <t>BSD lizentziak</t>
  </si>
  <si>
    <t>Albania hainbat vilayetetan banatuta zegoen; haietako bat bakarrik hiriburua zuen gaurko Albanian, Shkodërarena.</t>
  </si>
  <si>
    <t>aristokratiko</t>
  </si>
  <si>
    <t>Hainbat lurralde konkistatu zuten, eta kultura aberatsa osatu zuten, kutsu aristokratiko eta autokratakoa.</t>
  </si>
  <si>
    <t>aristocrático &gt; aristokratiko</t>
  </si>
  <si>
    <t>Chimú</t>
  </si>
  <si>
    <t>gisa</t>
  </si>
  <si>
    <t>Horiez gain, Malaysiako Malaka estatuan, komunitate batzuek oraindik lehen hizkuntza gisa erabiltzen dute.</t>
  </si>
  <si>
    <t>Portuges</t>
  </si>
  <si>
    <t>azido</t>
  </si>
  <si>
    <t>Gainera, Gantz Azido Aseetan eta kolesterol maila altua duten elikagaiekin kontuz ibili beharra dago.</t>
  </si>
  <si>
    <t>Gantz-azido</t>
  </si>
  <si>
    <t>rally</t>
  </si>
  <si>
    <t>Berez, txapelketaren barnean bi azpitxapelketa daude: Munduko Rally Gidari Txapelketa (FIA World Rally Championship for Drivers) eta Munduko Rally Automobilgile Txapelketa (FIA World Rally Championship for Manufacturers), biak ere puntu sisteman oinarritua daude, bi txapelketako proba guztiak puntuagarriak direlarik.</t>
  </si>
  <si>
    <t>Munduko Rally Gidari, FIA World Rally Championship for Drivers</t>
  </si>
  <si>
    <t>code-switch; named entities</t>
  </si>
  <si>
    <t>Munduko Rally Txapelketa</t>
  </si>
  <si>
    <t>anarkismo</t>
  </si>
  <si>
    <t>Anarkismoaren barnean aldiz, anarkismo indibidualista, mutialismoa, anarkismo komunista eta kolektibismoa bezalako hainbat korronte aurkitu ditzakegu.</t>
  </si>
  <si>
    <t>anarkismoaren, indibidualista, komunista, kolektibismoa</t>
  </si>
  <si>
    <t>anarquismo &gt; anarkismo &gt; anarkismoaren; individualista &gt; indibidualista; comunista &gt; komunista; el colectivismo &gt; kolektibismoa</t>
  </si>
  <si>
    <t>Ezker politiko</t>
  </si>
  <si>
    <t>estatua</t>
  </si>
  <si>
    <t>Florida Ameriketako Estatu Batuetako hego-ekialdean dagoen estatua da.</t>
  </si>
  <si>
    <t>estado &gt; estatua</t>
  </si>
  <si>
    <t>Florida</t>
  </si>
  <si>
    <t>deklarazio</t>
  </si>
  <si>
    <t>Gerra-egoeraren deklarazio baten arrazoi ohikoenak ("Casus belli") hauek dira:  Herrialde edo lurralde bateko herritarren lurraldeari, ondasunei edo ondareei erasotzea.</t>
  </si>
  <si>
    <t>declaración &gt; deklarazio</t>
  </si>
  <si>
    <t>Gerra-deklarazio</t>
  </si>
  <si>
    <t>bumeran</t>
  </si>
  <si>
    <t>Auskalo Bumeran bildumak biltzen dituenetan, lehenengoa Antton Olariagak (Usurbil, 1946) ilustratu zuen, bigarrena Jon Zabaletak (Hernani, 1950) ilustratu zuen bitartean.</t>
  </si>
  <si>
    <t>boomerang &gt; bumeran</t>
  </si>
  <si>
    <t>Risky</t>
  </si>
  <si>
    <t>internazional</t>
  </si>
  <si>
    <t>“Internazional Komunistaren Programa” onetsi zen eta “frente batuak” alderdirik gabeko pertsonen artean militanteak bilatzeko konpromezua hartu zuten; idazleak, kazetariak edo pertsona famatuak barneratuz.</t>
  </si>
  <si>
    <t>internacional &gt; internazional</t>
  </si>
  <si>
    <t>III. Internazionala</t>
  </si>
  <si>
    <t>linguistika</t>
  </si>
  <si>
    <t>Zientziaz gain, Gell-Mann irakasleari beste arlo batzuk ere interesatzen zitzaizkion, literatura, historia naturala, linguistika historikoa, arkeologia, historia edo psikologia kasu.</t>
  </si>
  <si>
    <t>lingüística &gt; linguistika</t>
  </si>
  <si>
    <t>Murray Gell-Mann</t>
  </si>
  <si>
    <t>penintsula</t>
  </si>
  <si>
    <t>Iberiar penintsula Europako hego-mendebaldeko penintsula da.</t>
  </si>
  <si>
    <t>península &gt; penintsula</t>
  </si>
  <si>
    <t>Iberiar penintsula</t>
  </si>
  <si>
    <t>abangoardia</t>
  </si>
  <si>
    <t>mendean zehar, hala ere, munduaren zati handi batean eskolatzearen hedapenak eta aisialdiko kulturaren agerpenak herri-kulturak nagusiki estatikoa zen izaera bertan behera uztea eragin dute, batzuetan abangoardia akademikoen sormena gainditzen duen elementu dinamizatzaile bilakatuz.</t>
  </si>
  <si>
    <t>vanguardia &gt; abangoardia</t>
  </si>
  <si>
    <t>wiktionary_fr</t>
  </si>
  <si>
    <t>Herri-kultura</t>
  </si>
  <si>
    <t>abako</t>
  </si>
  <si>
    <t>Etimologia “Abako” terminoa latinezko hitz bat da; bere jatorria grezierako “abax” edo abakon-en du eta “azalera laua” edo taula esan nahi du.</t>
  </si>
  <si>
    <t>ábaco &gt; abako</t>
  </si>
  <si>
    <t>Abako</t>
  </si>
  <si>
    <t>abioneta</t>
  </si>
  <si>
    <t>Boone abioneta batetik erortzeak eragindako zaurien ondorioz hil zen.</t>
  </si>
  <si>
    <t>avioneta &gt; abioneta</t>
  </si>
  <si>
    <t>Boone Carlyle</t>
  </si>
  <si>
    <t>copyleft</t>
  </si>
  <si>
    <t>Honen eredutzat jo daiteke Libre Society Open Sourceko ponpainia diskografikoak eratutako Free Art Lizentzia, askotan ezinezkoa edo desegokia baita copyleft osoko eraketa artistiko bat izatea.</t>
  </si>
  <si>
    <t>Sourceko, Lizentzia</t>
  </si>
  <si>
    <t>code-switch; phonological and morphological change</t>
  </si>
  <si>
    <t>source &gt; sourceko; licence &gt; licencia &gt; lizentzia</t>
  </si>
  <si>
    <t>Copyleft</t>
  </si>
  <si>
    <t>abandonu</t>
  </si>
  <si>
    <t>Hori dela eta, kasu batzuetan, eskolan hasteak gatazka egoerak sortarazten dizkie txikienei, horrek beldurra, abandonu sentsazioak...</t>
  </si>
  <si>
    <t>abandono &gt; abandonu</t>
  </si>
  <si>
    <t>Haur hezkuntza</t>
  </si>
  <si>
    <t>absoluzio</t>
  </si>
  <si>
    <t>Auzi nagusiko absoluzio epaiaren ondorioz, Vázquez Honrubiak ebatzi zuen auzian “delitu terroristaren” zantzurik ez zegoela, eta auzi ekonomikoan legokeen delitu bakarra ustezko iruzur fiskala litzatekeela, “ohiko delitua”. 2011-12-26: Dignidad y Justicia elkartea auzi ekonomikotik kanpo utzi zuen auzitegiak. 2013-02-20: Euskaldunon Egunkariaren itxieraren hamargarren urteurrenaren harira, Berriako atarian ekitaldia egin zuten langile, auzipetu, kazetari eta gonbidatuen presentziarekin.</t>
  </si>
  <si>
    <t>absolución &gt; absoluzio</t>
  </si>
  <si>
    <t>Euskaldunon Egunkariaren itxiera</t>
  </si>
  <si>
    <t>ralenti</t>
  </si>
  <si>
    <t>Takografoak erregistratzen dituen gertaeren artean abiadura (bataz bestekoa eta handiena), bapateko azelerazioak eta geldiketak, ralenti denborak (motorra martxan baina ibilgailua geldirik dagoen aldiak), atsedenaldiak eta etenaldiak dira.</t>
  </si>
  <si>
    <t>Takografo</t>
  </si>
  <si>
    <t>pase</t>
  </si>
  <si>
    <t>Hala ere, bere lana ez da soilik defentsakoa: izan ere, arau orokorrak dionez, erasoan lehenengo pasea eman behar duena da, pase luzeak egiten dituena da kontraerasoetan.</t>
  </si>
  <si>
    <t>Waterpolo</t>
  </si>
  <si>
    <t>aporofobia</t>
  </si>
  <si>
    <t>Erreferentziak Ikus, gainera Aporofobia.</t>
  </si>
  <si>
    <t>Eskola segregazio</t>
  </si>
  <si>
    <t>aerobiko</t>
  </si>
  <si>
    <t>Diziplina honek duen abantaila nagusia, gimnastika artistiko, erritmiko, aerobiko, akrobatiko, tranpolin eta dantzako jarduera dinamiko eta ariketak barne har ditzakeela da.</t>
  </si>
  <si>
    <t>aeróbico &gt; aerobiko</t>
  </si>
  <si>
    <t>Gimnastika</t>
  </si>
  <si>
    <t>eslogan</t>
  </si>
  <si>
    <t>Hitzaren jatorria "Eslogan" slogorn hitzetik dator; aldi berean azken honek Eskoziako gaelerazko sluagh-gairm edo sluagh-ghairm (sluagh="armada" + gairm="oihu") hitzetan du jatorria..</t>
  </si>
  <si>
    <t>slogan &gt; eslogan</t>
  </si>
  <si>
    <t>Eslogan</t>
  </si>
  <si>
    <t>presa</t>
  </si>
  <si>
    <t>Hori dela eta, presa horiek grabitatezkoak direla esaten da.</t>
  </si>
  <si>
    <t>Presa</t>
  </si>
  <si>
    <t>terrorismo</t>
  </si>
  <si>
    <t>Hala ere, estatu-terrorismo izendapena eztabaidatua izaten da kasu askotan, indarreango ordenamendu juridikoak eta horren aplikazioak estrategia hori erraztu eta jokoan dauden interes politiko eta geopolitikoak direla eta, terrorismo terminoaren balorazio negatiboa baztertzearren.</t>
  </si>
  <si>
    <t>Estatu terrorismo</t>
  </si>
  <si>
    <t>online</t>
  </si>
  <si>
    <t>Online Computer Library Center (OCLC) ordenagailu bidezko online liburutegi-zerbitzu bat da, eta irabazteko asmorik gabeko ikerketa erakunde bat.</t>
  </si>
  <si>
    <t>Online Computer Library Center</t>
  </si>
  <si>
    <t>bolada</t>
  </si>
  <si>
    <t>Haize bolada zakarrak izaten dira.</t>
  </si>
  <si>
    <t>Amundsen golkoa</t>
  </si>
  <si>
    <t>tradizio</t>
  </si>
  <si>
    <t>Historia eskualdearen arabera Filosofia izenez, etimologikoki, Greziatik garaturiko pentsamendu korronte arrazionalen multzoa ezagutzen bada ere, badira filosofiatzat jotzen diren beste zenbait jakintza-tradizio ere, munduko beste zenbait zibilizaziotan sortuak, bereziki indiar filosofia eta txinatar filosofia.</t>
  </si>
  <si>
    <t>tradición &gt; tradizio</t>
  </si>
  <si>
    <t>Filosofia</t>
  </si>
  <si>
    <t>Tunisia</t>
  </si>
  <si>
    <t>Tunisia Afrika iparraldeko Mediterraneo itsasoko kostaldean dagoen estatua da.</t>
  </si>
  <si>
    <t>diplomazia</t>
  </si>
  <si>
    <t>Erreferentziak Ikus, gainera Nazioarteko harremanak Kanpo-politika  Kanpo estekak Diplomazia, Berria</t>
  </si>
  <si>
    <t>diplomacia &gt; diplomazia</t>
  </si>
  <si>
    <t>Diplomazia</t>
  </si>
  <si>
    <t>greba</t>
  </si>
  <si>
    <t>Grebak iraun bitartean laneko hutsegiteak egitea, nahiz eta greba legezkoa izan, posible da eskubide-mehatxuekin zerikusirik ez duten legez kontrako jarduera indibidualizatuak gertatzea, eta horregatik greba osoa legez kanpokoa bihur daiteke.</t>
  </si>
  <si>
    <t>Greba</t>
  </si>
  <si>
    <t>collage</t>
  </si>
  <si>
    <t>Material mota asko erabili izan dira collage-etan: egunkari-zatiak, aldizkariak, zintak, koloretako edo eskuz landutako paperak, beste artelanak, argazki eta bestelako objektuak.</t>
  </si>
  <si>
    <t>Collage</t>
  </si>
  <si>
    <t>lama</t>
  </si>
  <si>
    <t>Ituero y Lama Segoviako udalerria da, Comarca de Segovia eskualdean dagoena.</t>
  </si>
  <si>
    <t>Ituero y Lama</t>
  </si>
  <si>
    <t>txalupa</t>
  </si>
  <si>
    <t>Hurrengoak ziren:  Erreferentziak Ikus, gainera Bizkaia Zubia Bilboko metroa Bilboko Renfe Aldiriak Bizkaiko Garraio Partzuergoa  Kanpo estekak Portugaleteko Txalupa-Gidarien Elkartearen webgunea</t>
  </si>
  <si>
    <t>chaloupe &gt; chalupa &gt; txalupa</t>
  </si>
  <si>
    <t>Gasolino</t>
  </si>
  <si>
    <t>camembert</t>
  </si>
  <si>
    <t>Camembert frantziar jatorriko gazta bigun, koipetsu eta leuna da.</t>
  </si>
  <si>
    <t>Camembert (gazta)</t>
  </si>
  <si>
    <t>arbola</t>
  </si>
  <si>
    <t>2015eko urtarrilaren 15ean jakin zenez, Gernikako arbola ihartu egin zen eta otsail amaiera edo martxo hasierarako bosgarren belaunaldiak hartuko zuen lekukoa.</t>
  </si>
  <si>
    <t>Gernikako Arbola</t>
  </si>
  <si>
    <t>abisu</t>
  </si>
  <si>
    <t>Goiburu hura nabigatzaileak abisu zahar ospetsua desafiatu eta ahaztera animatzeko erabili zen.</t>
  </si>
  <si>
    <t>«Plus Ultra» (goiburua)</t>
  </si>
  <si>
    <t>Espezie eta generoak Jendeari beti datorkio burura piraña berdina (hau da, sabel-gorria, Pygocentrus-a).</t>
  </si>
  <si>
    <t>Piraña</t>
  </si>
  <si>
    <t>teknologia</t>
  </si>
  <si>
    <t>Teknologia, grezierazko τεχνολογος-tik, tekne (τεχνη, «zientzia, arte, edo lanbide») eta logos (λογος, «jakintza-multzoa») hitzez osatuta dago.</t>
  </si>
  <si>
    <t>tecnología &gt; teknologia</t>
  </si>
  <si>
    <t>Teknologia</t>
  </si>
  <si>
    <t>stream</t>
  </si>
  <si>
    <t>Jet korrontea (batzuetan ingelesezko jet stream) haize indartsu, sigisagatsu eta tubularra da, mendebalde-ekialde norabidean mugitzen dena 9 eta 11 km bitarteko garaieran, lurburuko tropopausaren eta tropikoko tropopausaren arteko garaieren bitartean..</t>
  </si>
  <si>
    <t>jet</t>
  </si>
  <si>
    <t>Jet korronte</t>
  </si>
  <si>
    <t>abzisa</t>
  </si>
  <si>
    <t>x                 {\displaystyle x}     koordenatuan, zeinu positiboak distantzia ardatz horizontalean (abzisa) eskuinerantz hartzen dela  adierazten du, eta negatiboak aldiz, ezkerrerantz.</t>
  </si>
  <si>
    <t>abscisa &gt; abzisa</t>
  </si>
  <si>
    <t>Geometria analitiko</t>
  </si>
  <si>
    <t>Bernedo</t>
  </si>
  <si>
    <t>Ekonomia Banaketa administratiboa 13 herrik osatzen dute Bernedo udalerria:  Angostina: 28 biztanle.</t>
  </si>
  <si>
    <t>organizazio</t>
  </si>
  <si>
    <t>Gainera, sindikatuen mugimenduan eta gobernuz kanpoko erakunde askotan buru-belarri ibili izan da; hala nola, Sindikatuen Organizazio Nagusian eta SETAn.</t>
  </si>
  <si>
    <t>organización &gt; organizazio</t>
  </si>
  <si>
    <t>Tarja Halonen</t>
  </si>
  <si>
    <t>tweet</t>
  </si>
  <si>
    <t>Adibidez, txoriek euskaraz txio egiten duten bitartean, gaztelaniaz pio, frantsesez cuic, ingelesez tweet eta alemanez piep egiten dute.</t>
  </si>
  <si>
    <t>Onomatopeia</t>
  </si>
  <si>
    <t>softwarea</t>
  </si>
  <si>
    <t>Softwarea mihiztatze-lengoaian ere idatzita egon daiteke.</t>
  </si>
  <si>
    <t>the software &gt; softwarea</t>
  </si>
  <si>
    <t>noun_integrated_sg</t>
  </si>
  <si>
    <t>Software</t>
  </si>
  <si>
    <t>martxo</t>
  </si>
  <si>
    <t>Neukölln auzoko Mercure hotelean egin zen 2017ko Wikimedia Konferentzia urte horretako martxo-apirilean.</t>
  </si>
  <si>
    <t>marzo &gt; martxo</t>
  </si>
  <si>
    <t>Neukölln</t>
  </si>
  <si>
    <t>sozial</t>
  </si>
  <si>
    <t>Historia Sorrera Sare sozial hori 2006ko martxoan sortu zen San Frantziskon (Kalifornia), Jack Dorseyren, Evan Williamsen, Biz Stoneren eta Noah Glassen eskutik.</t>
  </si>
  <si>
    <t>social &gt; sozial</t>
  </si>
  <si>
    <t>taberna</t>
  </si>
  <si>
    <t>13 kontseilarik osatzen dute, eta horietatik 3 lehendakariordeak dira: Félix Taberna Monzon, Ana Ollo Hualde eta Begoña Alfaro García.</t>
  </si>
  <si>
    <t>Nafarroako Gobernua</t>
  </si>
  <si>
    <t>erraldoi</t>
  </si>
  <si>
    <t>Bitigar, bitigar erraldoi edo Arabako bitigarrra (Clitocybe candida) Tricholomataceae familiako onddo espezie bat da.</t>
  </si>
  <si>
    <t>Bitigar erraldoi</t>
  </si>
  <si>
    <t>geografia</t>
  </si>
  <si>
    <t>Geografia feminista Geografia feminista edo generoaren geografia giza geografiaren korrontea da, feminismoak eremu geografiko, gizatiar eta sozialaren azterketari egindako teorietan metodoetan eta kritiketan kokatzen dena.</t>
  </si>
  <si>
    <t>Geografia</t>
  </si>
  <si>
    <t>botila</t>
  </si>
  <si>
    <t>Botila irekitakoan, burbuilak 20 ºC-tan osatzen dira.</t>
  </si>
  <si>
    <t>botella &gt; botila</t>
  </si>
  <si>
    <t>Ardo apardun</t>
  </si>
  <si>
    <t>astronautika</t>
  </si>
  <si>
    <t>Itsasontzien kasuan, nautika terminoa ere erabiltzen da (aireontzien kasuan, aeronautika; espaziontzien kasuan, astronautika).</t>
  </si>
  <si>
    <t>astronáutica &gt; astronautika</t>
  </si>
  <si>
    <t>Nabigazio</t>
  </si>
  <si>
    <t>misil</t>
  </si>
  <si>
    <t>artikulua betez, honako hau adostu dute, konbentzioa indarrean egongo den aldirako: Amerikako Estatu BAtuek 720 misil balistikoeterako jaurtigailu baino ez dituzte edukiko itsaspekoetan (SLBM), eta misil balistiko modernoak ditzuten 44 itsaspeko soilik.</t>
  </si>
  <si>
    <t>SALT itunak</t>
  </si>
  <si>
    <t>autismo</t>
  </si>
  <si>
    <t>Zientzia.net (2013) APNABI Bizkaiko Autismo Elkartea GAUTENA Gipuzkoako Autismo Elkartea.</t>
  </si>
  <si>
    <t>Autismo</t>
  </si>
  <si>
    <t>kondentsadore</t>
  </si>
  <si>
    <t>Beckerrek «tentsio baxuko kondentsadore elektrolitiko bat karbono porotsudun elektrodoekin» garatu zuenean.</t>
  </si>
  <si>
    <t>electrolitiko</t>
  </si>
  <si>
    <t>condensador &gt; kondentsadore; electrolítico &gt; elektrolitiko</t>
  </si>
  <si>
    <t>Kondentsadore elektriko</t>
  </si>
  <si>
    <t>tximinia</t>
  </si>
  <si>
    <t>Erupzioen ezaugarriak aztertzeko alderdi asko izan behar dira kontuan; magma oso likatsua den ala ez, sumendi-tximinia nolakoa den, gasen presioa oso handia den, etab.</t>
  </si>
  <si>
    <t>chimenea &gt; tximinia</t>
  </si>
  <si>
    <t>Sumendi-erupzio</t>
  </si>
  <si>
    <t>militarismo</t>
  </si>
  <si>
    <t>Militarismo, faxismo, arrazakeria edo sexismoa dira euren letretan gogor kritikatzen dituzten gaietako batzuk.</t>
  </si>
  <si>
    <t>faxismo, sexismoa</t>
  </si>
  <si>
    <t>fascismo &gt; faxismo; el sexismo &gt; sexismoa</t>
  </si>
  <si>
    <t>Soziedad Alkoholika</t>
  </si>
  <si>
    <t>rap</t>
  </si>
  <si>
    <t>Genero horrek rap musikaren sortze-prozesua zaintzen du, baina elektronikako aztarnak gehituz.</t>
  </si>
  <si>
    <t>elektronikako</t>
  </si>
  <si>
    <t>electrónica &gt; elektronikako</t>
  </si>
  <si>
    <t>Rap</t>
  </si>
  <si>
    <t>jende</t>
  </si>
  <si>
    <t>Herri eta auzoak Sant Bartomeu Sesgorgues Tavertet  Demografia Jende ezaguna Herri honetan bertan hil zen Raimon Pannikar teologo ezaguna (1918-2010).</t>
  </si>
  <si>
    <t>Tavertet</t>
  </si>
  <si>
    <t>asimilazio</t>
  </si>
  <si>
    <t>Kultura-asimilazio prozesuak gizateriaren historia osoan zehar gertatu dira eta askok kultura berriak sortu dituzte.</t>
  </si>
  <si>
    <t>asimilación &gt; asimilazio</t>
  </si>
  <si>
    <t>Kultura-asimilazio</t>
  </si>
  <si>
    <t>nazionalismo</t>
  </si>
  <si>
    <t>Nazionalismo kulturalaren ekarpena hiritarraren eta nazio-estatuaren artean komunitate kulturala kokatzea da.</t>
  </si>
  <si>
    <t>nacionalismo &gt; nazionalismo</t>
  </si>
  <si>
    <t>Nazionalismo</t>
  </si>
  <si>
    <t>marikoi</t>
  </si>
  <si>
    <t>Nahiz eta, aintzira ez dagoen babesturik, bertan inguruko eremu basatietan babestuak dauden hegazti ugari aurki daiteke; hala nola, aliota txikiak, antzara nanoak, belatz handiak, elur-hontzak, eskandinaviako lagopodoak, ipar-belatzak, ipar-kaskabeltzak, laponiako kaskabeltzak, marikoi isats-luzeak, negu txontak eta papourdinak.</t>
  </si>
  <si>
    <t>Seitavuopio</t>
  </si>
  <si>
    <t>filosofia</t>
  </si>
  <si>
    <t>Antzinako filosofia tradizionalak ere berresten hasi ziren XX.</t>
  </si>
  <si>
    <t>pixela</t>
  </si>
  <si>
    <t>Beraz, GPUk erabiltzen dituen unitate nagusiak erpina eta pixela dira.</t>
  </si>
  <si>
    <t>GPUk</t>
  </si>
  <si>
    <t>GPU &gt; GPUk, el pixel &gt; pixela</t>
  </si>
  <si>
    <t>Grafikoak prozesatzeko unitate</t>
  </si>
  <si>
    <t>radio</t>
  </si>
  <si>
    <t>Espainiako irrati publikoa, Radio Nacional de Españak eta 7 kate autonomikok ordezkatzen dute.</t>
  </si>
  <si>
    <t>Irrati (hedabidea)</t>
  </si>
  <si>
    <t>balbula</t>
  </si>
  <si>
    <t>Balbula eta ardatza hariztatu egin daitezke, hala, ardatza balbulari lotu edo askatzeko aukera dago alde batera edo bestera biratuta, alegia, diskoa gorputzaren barruan atzera edo aurrera mugituz.</t>
  </si>
  <si>
    <t>válvula &gt; balbula</t>
  </si>
  <si>
    <t>Balbula</t>
  </si>
  <si>
    <t>antropologia</t>
  </si>
  <si>
    <t>ISBN 84-922537-4-6 (Antropologia kontzeptuaz eta antropologia filosofikoaz) Esteban, Mari Luz (2012): “Euskal antropologiaren jauzi kontzeptualak eta euskal kulturaren haragitasunak”, Ankulegi, 16: 111-125.</t>
  </si>
  <si>
    <t>filosofikoa, antropologiaren, kontzeptualak</t>
  </si>
  <si>
    <t>filosófico &gt; filosofikoa, de la antropología &gt; antropologiaren; conceptuales &gt; kontzeptualak</t>
  </si>
  <si>
    <t>Antropologia</t>
  </si>
  <si>
    <t>psikologia</t>
  </si>
  <si>
    <t>Gizarte psikologia modernoari, halaber, Kurt Lewin alemaniarrak eman zion hasiera.</t>
  </si>
  <si>
    <t>modernoari</t>
  </si>
  <si>
    <t>psicología &gt; psikologia; moderno &gt; modernoari</t>
  </si>
  <si>
    <t>Psikologia</t>
  </si>
  <si>
    <t>mina</t>
  </si>
  <si>
    <t>Zapore mingotsa eta mina dauka.</t>
  </si>
  <si>
    <t>Russula decipiens</t>
  </si>
  <si>
    <t>bridge</t>
  </si>
  <si>
    <t>Shiel Bridge, Eskoziako gaeleraz: Drochaid Sheile, Eskoziako Highland eskualdeko udalerri bat da, Skye eta Lochalsh barrutian.</t>
  </si>
  <si>
    <t>Shiel Bridge</t>
  </si>
  <si>
    <t>kosmonauta</t>
  </si>
  <si>
    <t>Bertatik jaurti ziren giza-historiako lehen satelite artifiziala, Sputnik 1 izenekoa, baita historian zehar espazioraturiko lehen animalia, Laika izeneko zakur emea, lehen gizakia, Juri Gagarin kosmonauta, baita lehen emakumea ere, Valentina Terexkova.</t>
  </si>
  <si>
    <t>artifiziala</t>
  </si>
  <si>
    <t>cosmonauta &gt; kosmonauta; artificial &gt; artifiziala</t>
  </si>
  <si>
    <t>Baikonur</t>
  </si>
  <si>
    <t>arraro</t>
  </si>
  <si>
    <t>Fikzio fantastikoaren mugak, bada, zoragarriaren espazio zabalak markatuko lituzke, non munduaren funtzionamendu arrazionala baztertu eta «arraroa» edo «fantastikoa azaltzen», zeinetan elementu kezkagarriak arraro izatera murrizten diren, baina gertakari azalgarriak.</t>
  </si>
  <si>
    <t>Fantasiazko literatura</t>
  </si>
  <si>
    <t>usera</t>
  </si>
  <si>
    <t>Moscardó, Espainiako Madril hiriburuko auzo bat da, Usera barrutian.</t>
  </si>
  <si>
    <t>Moscardó (Madril)</t>
  </si>
  <si>
    <t>ardura</t>
  </si>
  <si>
    <t>Ertzaintzaren kasuan, ofizialak ikuskatzaile mailako ahaltsuenak dira eta, aldi berean, ardura gehien dituzte.</t>
  </si>
  <si>
    <t>Ofizier</t>
  </si>
  <si>
    <t>bandalismo</t>
  </si>
  <si>
    <t>2015ean 16 guneetara zabaldu ziren bizikletak, baina bandalismo gertaera ugariren ondorioz ia erabilezin geratu zen.</t>
  </si>
  <si>
    <t>vandalismo &gt; bandalismo</t>
  </si>
  <si>
    <t>Dbizi</t>
  </si>
  <si>
    <t>zibil</t>
  </si>
  <si>
    <t>Lostwithiel, kornubieraz: Lostwydhyel, Ingalaterrako Kornualles konderriko parrokia zibil eta udalerri bat da.</t>
  </si>
  <si>
    <t>parrokia</t>
  </si>
  <si>
    <t>civil &gt; zibil; parroquia &gt; parrokia</t>
  </si>
  <si>
    <t>Lostwithiel</t>
  </si>
  <si>
    <t>trafiko</t>
  </si>
  <si>
    <t>Terminologia Trafiko-istripuak mota orokorren arabera sailkatu daitezke.</t>
  </si>
  <si>
    <t>tráfico &gt; trafiko</t>
  </si>
  <si>
    <t>Trafiko-istripu</t>
  </si>
  <si>
    <t>Garailea Herbehereetako Ralf Mackenbach izan zen, "Click Clack" abestiarekin.</t>
  </si>
  <si>
    <t>2009ko Junior Eurovision Abesti Lehiaketa</t>
  </si>
  <si>
    <t>kontzientzia</t>
  </si>
  <si>
    <t>Onartzen badugu saguzarren burmuinei buruzko gertaera fisiko guztiak ezagutzen ditugula, eta hala ere, esperientzia subjektibo hori edo espeziearen araberakoa den ikuspuntu hori ezin dugula ulertu, orduan materialismoa berez akastuna da kontzientzia azaltzean.</t>
  </si>
  <si>
    <t>esperientzia, subjektibo</t>
  </si>
  <si>
    <t>conciencia &gt; kontzientzia; experiencia &gt; esperientzia; subjetivo &gt; subjektivo</t>
  </si>
  <si>
    <t>Kontzientzia</t>
  </si>
  <si>
    <t>Bizente</t>
  </si>
  <si>
    <t>Kale honen amaieran San Bizente eliza dago.</t>
  </si>
  <si>
    <t>Narrika kalea</t>
  </si>
  <si>
    <t>kilate</t>
  </si>
  <si>
    <t>Errubi baten kalitatea, bere koloreak, mozketak eta argitasunak baldintzatzen du, eta ezaugarri hauek, kilate pisuarekin batera, bere balio eta prezioari eragiten diote.</t>
  </si>
  <si>
    <t>quilate &gt; kilate</t>
  </si>
  <si>
    <t>Errubi</t>
  </si>
  <si>
    <t>puntu</t>
  </si>
  <si>
    <t>Puntu akats bat alearen hiru dimentsioko sare orokorraren barruan dagoen sare bakarreko deformazio bat da.</t>
  </si>
  <si>
    <t>punto &gt; puntu</t>
  </si>
  <si>
    <t>Gogortasun</t>
  </si>
  <si>
    <t>abangoardista</t>
  </si>
  <si>
    <t>Romeuk Bartzelonan giro abangoardista eta bohemioko gunea sortzea erabaki zuen.</t>
  </si>
  <si>
    <t>bohemioko</t>
  </si>
  <si>
    <t>vanguardista &gt; abangoardista; bohemio &gt; bohemioko</t>
  </si>
  <si>
    <t>Els Quatre Gats</t>
  </si>
  <si>
    <t>teologo</t>
  </si>
  <si>
    <t>Martin de Barcos, lapurtar teologo jansenista (h.</t>
  </si>
  <si>
    <t>abdukzio</t>
  </si>
  <si>
    <t>Erreferentziak Ikus, gainera Objektu Hegalari Ezezagun Abdukzio Eldarnio Maitagarrien eraztun Soro-zirkulu Bizi estralurtar  Kanpo estekak Estralurtarrak Euskal Herrian.</t>
  </si>
  <si>
    <t>abducción &gt; abdukzio</t>
  </si>
  <si>
    <t>Estralurtar</t>
  </si>
  <si>
    <t>banku</t>
  </si>
  <si>
    <t>Europako Banku Zentrala Europako Banku Zentrala (EBZ) nortasun juridikoa duen nazioz gaindiko erakundea da, Frankfurten sortu zen 1998ko ekainaren 1ean.</t>
  </si>
  <si>
    <t>banco &gt; banku</t>
  </si>
  <si>
    <t>Banku</t>
  </si>
  <si>
    <t>anana</t>
  </si>
  <si>
    <t>Diuretiko naturalen artean hainbat elikagai eta edari aurkitzen dira: tea, kafea, anana, zainzuriak eta alkohola besteak beste.</t>
  </si>
  <si>
    <t>ananas &gt; anana</t>
  </si>
  <si>
    <t>Diuretiko</t>
  </si>
  <si>
    <t>pilota</t>
  </si>
  <si>
    <t>Pilota joko asko egon arren eta herri askok horrelako jolasak izan arren, euskaldunek beste hainbat gauzarekin bezala ederki jakin dute pilota jokoa egokitzen: beren tokira moldatu dute pilota eta bertako ezaugarriez hornitu: plaza, leku, arau, pilota, jotzeko tresnak, instalazioak, materialak, etab.</t>
  </si>
  <si>
    <t>pelota &gt; pilota</t>
  </si>
  <si>
    <t>Euskaldun</t>
  </si>
  <si>
    <t>accesit</t>
  </si>
  <si>
    <t>Gaia eta gau aldaketak (1981) poema liburuarekin Resurreccion Maria de Azkue sariaren accesit bat irabazi zuen.</t>
  </si>
  <si>
    <t>Tere Irastortza</t>
  </si>
  <si>
    <t>oilo</t>
  </si>
  <si>
    <t>Planeta osoan 25 bilioi oilo baino gehiago daudela uste da; hau da, gaur egun beste edozein hegazti-espezie baino gehiago.</t>
  </si>
  <si>
    <t>Oilo</t>
  </si>
  <si>
    <t>Katalunia</t>
  </si>
  <si>
    <t>Kataluniako konderri hauek gaur egun Katalunia Zaharra (Catalunya La Vella) izenez ezagutzen den lurraldea osatu zuten.</t>
  </si>
  <si>
    <t>el</t>
  </si>
  <si>
    <t>Χάουαρντ</t>
  </si>
  <si>
    <t>Στη μνήμη του, στους τίτλους τέλους της ταινίας προστέθηκαν τα εξής: «Στον φίλο μας, Χάουαρντ, που έδωσε φωνή σε μία γοργόνα, και ψυχή σε ένα τέρας.</t>
  </si>
  <si>
    <t>transliterated proper noun</t>
  </si>
  <si>
    <t>Howard</t>
  </si>
  <si>
    <t>Η Πεντάμορφη και το Τέρας (ταινία, 1991)</t>
  </si>
  <si>
    <t>τρανς</t>
  </si>
  <si>
    <t>Δείτε ακόμα Κακοποίηση Bullying Διαδικτυακός εκφοβισμός Εγκλήματα μίσους Δικαιώματα ΛΟΑΤ στην Ελλάδα Σχολικός εκφοβισμός Εκφοβισμός τρανς Βία εναντίον των ατόμων ΛΟΑΤ  Σημειώσεις Παραπομπές Περαιτέρω ανάγνωση Duncan, Neil (2001).</t>
  </si>
  <si>
    <t>transliteration</t>
  </si>
  <si>
    <t>trans</t>
  </si>
  <si>
    <t>Εκφοβισμός ομοφυλοφίλων</t>
  </si>
  <si>
    <t>Ο Ρόλινς είναι δυο φορές Παγκόσμιος Πρωταθλητής, δύο φορές Πρωταθλητής WWE, δύο φορές Intercontinental Champion, μια φορά United States Champion , έξι φορές WWE/Raw Tag Team Champion (μαζί με τον Roman Reigns, δύο φορές με τον Dean Ambrose, τον Jason Jordan, τον Braun Strowman και με τον Buddy Murphy), ο νικητής του Money in the Βank 2014, βραβευμένος από το WWE ως ο καλύτερος παλαιστής για το 2015 και ο νικητής του Royal Rymble 2019.</t>
  </si>
  <si>
    <t>cs_latin_raw</t>
  </si>
  <si>
    <t>Σεθ Ρόλινς</t>
  </si>
  <si>
    <t>ναδίρ</t>
  </si>
  <si>
    <t>Το ακριβώς υπεράνω του παρατηρητή σημειο ονομάζεται Ζενίθ, ενώ το έτερο στον αντίποδά του ονομάζεται Ναδίρ.</t>
  </si>
  <si>
    <t>Κατακόρυφος</t>
  </si>
  <si>
    <t>Τζέιμς</t>
  </si>
  <si>
    <t>Για παράδειγμα, ο Τζέιμς Ερλ Τζόουνς προσλήφθηκε επειδή οι σκηνοθέτες βρήκαν τη φωνή του «δυνατή» και παραπλήσια με τον βρυχηθμό ενός λιονταριού.</t>
  </si>
  <si>
    <t>Ο Βασιλιάς των Λιονταριών</t>
  </si>
  <si>
    <t>Αντάντ</t>
  </si>
  <si>
    <t>Η νίκη της Αντάντ στον Μεγάλο Πόλεμο οδήγησε στην πλήρη επικράτηση της αγγλογαλλικής συμμαχίας στην Ευρώπη αλλά και παγκοσμίως.</t>
  </si>
  <si>
    <t>Entente</t>
  </si>
  <si>
    <t>καρό</t>
  </si>
  <si>
    <t>Τα αεροσκάφη που χρησιμοποιούσε η ομάδα είχαν ένα κόκκινο και άσπρο καρό σχέδιο στο ρύγχος, όμως αυτό τώρα έχει περιοριστεί σε μία μικρή καρό λωρίδα.</t>
  </si>
  <si>
    <t>Red Checkers</t>
  </si>
  <si>
    <t>μάρκετινγκ</t>
  </si>
  <si>
    <t>Έτσι, όταν η ανώτατη διοίκηση επινοεί τη στρατηγική κατεύθυνση/αποστολή της εταιρείας, οι επιδιωκόμενες δραστηριότητες μάρκετινγκ ενσωματώνονται σε αυτό το σχέδιο.</t>
  </si>
  <si>
    <t>magnetic</t>
  </si>
  <si>
    <t>Μάρκετινγκ</t>
  </si>
  <si>
    <t>ζέμπρα</t>
  </si>
  <si>
    <t>Στις ταινίες του περιλαμβάνονται οι Άσχημη μέρα στο μαύρο βράχο (1955), Αίμα στον πράσινο βάλτο (1957), Και οι επτά ήταν υπέροχοι (1960), Η μεγάλη απόδραση (1963) και Μυστική βάση Ζέμπρα (1968).</t>
  </si>
  <si>
    <t>Τζον Στέρτζες</t>
  </si>
  <si>
    <t>παζλ</t>
  </si>
  <si>
    <t>Ο Κύβος του Ρούμπικ είναι τρισδιάστατο μηχανικό παζλ.</t>
  </si>
  <si>
    <t>Ρούμπικ</t>
  </si>
  <si>
    <t>puzzle; rubik</t>
  </si>
  <si>
    <t>Κύβος του Ρούμπικ</t>
  </si>
  <si>
    <t>γιουβαρλάκι</t>
  </si>
  <si>
    <t>Μεγάλο μέρος της ελληνικής κουζίνας ανήκει σε μια ευρύτερη παράδοση της οθωμανικής κουζίνας, με τα ονόματα των πιάτων να αποκαλύπτουν αραβικές, περσικές ή τουρκικές ρίζες: μουσακάς, τζατζίκι, γιουβαρλάκι, κεφτέδες, ντολμάδες κ.λπ.</t>
  </si>
  <si>
    <t>transliteration and morphological change</t>
  </si>
  <si>
    <t>yuvarlak</t>
  </si>
  <si>
    <t>wiktionary_tr</t>
  </si>
  <si>
    <t>Μεσογειακή κουζίνα</t>
  </si>
  <si>
    <t>φθόριο</t>
  </si>
  <si>
    <t>Το 1886, όμως, ο γάλλος χημικός Ανρί Μουασάν (Henri Moissan) πέτυχε να απομονώσει στοιχειακό φθόριο, χρησιμοποιώντας ηλεκτρόλυση σε χαμηλή θερμοκρασία, μια διεργασία που χρησιμοποιείται ακόμη από τη σύγχρονη βιομηχανική παραγωγή του φθορίου.</t>
  </si>
  <si>
    <t>fluorum</t>
  </si>
  <si>
    <t>Φθόριο</t>
  </si>
  <si>
    <t>Louis Post-Dispatch επέκρινε επίσης την ιστορία ως το πιο αδύναμο σημείο της ταινίας.</t>
  </si>
  <si>
    <t>Ψυχρά κι Ανάποδα</t>
  </si>
  <si>
    <t>κοκτέιλ</t>
  </si>
  <si>
    <t>Δείτε επίσης Αυτοσχέδιος εκρηκτικός μηχανισμός TM 31-210 Improvised Munitions Handbook  Παραπομπές Εξωτερικοί σύνδεσμοι  Η χρήση του κοκτέιλ μολότοφ στο Β΄ Παγκόσμιο Πόλεμο</t>
  </si>
  <si>
    <t>cocktail</t>
  </si>
  <si>
    <t>Κοκτέιλ μολότοφ</t>
  </si>
  <si>
    <t>σπόιλερ</t>
  </si>
  <si>
    <t>Αυτό αποτελείται από δύο μονά στρογγυλά φώτα σε ένα πλαστικό κάλυμμα, ένα εμπρός σπόιλερ και πίσω αεροτομή Irmscher, χαμηλότερο προφυλακτήρα και πίσω αεροτομή.</t>
  </si>
  <si>
    <t>spoiler</t>
  </si>
  <si>
    <t>noun_transliterated</t>
  </si>
  <si>
    <t>Opel Manta</t>
  </si>
  <si>
    <t>μόδα</t>
  </si>
  <si>
    <t>Ο Αδριανός, ο οποίος απεικονιζόταν με γενειάδα ώστε να δείχνει τα φιλελληνικά του αισθήματα, καθιέρωσε τη σχετική μόδα κι έκτοτε πολλές προτομές αυτοκρατόρων φέρουν γενειάδες.</t>
  </si>
  <si>
    <t>mode</t>
  </si>
  <si>
    <t>Αρχαία Ρώμη</t>
  </si>
  <si>
    <t>Κολοράντο</t>
  </si>
  <si>
    <t>Οροσειρά Φροντ Ο περισσότερος πληθυσμός του Κολοράντο κατοικεί κατά μήκος της ανατολικής άκρης των Βραχωδών Ορέων στον Αστικό Διάδρομο Οροσειράς Φροντ μεταξύ του Τσεγιέν, Ουαϊόμινγκ, και του Πουέμπλο, Κολοράντο.</t>
  </si>
  <si>
    <t>Colorado</t>
  </si>
  <si>
    <t>Γκρέις</t>
  </si>
  <si>
    <t>Ο πρίγκιπας Ρενιέ και η πριγκίπισσα Γκρέις απέκτησαν τρία παιδιά: την Καρολίνα, τον Αλβέρτο και την Στεφανία.</t>
  </si>
  <si>
    <t>Grace</t>
  </si>
  <si>
    <t>Γκρέις Κέλλυ</t>
  </si>
  <si>
    <t>scan</t>
  </si>
  <si>
    <t>Παραλλαγές Μια παραλλαγή του αλγόριθμου SCAN είναι ο αλγόριθμος C- SCAN όπου το C προέρχεται από την αγγλική λέξη circular (κυκλικός).</t>
  </si>
  <si>
    <t>Αλγόριθμος SCAN</t>
  </si>
  <si>
    <t>φλίπερ</t>
  </si>
  <si>
    <t>Το παιχνίδι είναι μια συλλογή από εφτά αληθινά τραπέζια φλίπερ από την εταιρία Gottlieb: τα Baffle Ball (1931), Humpty Dumpty (1947), Knock Out (1950), Slick Chick (1963), Spirit of 76 (1975), Haunted House (1982) και Cue Ball Wizard (1992).</t>
  </si>
  <si>
    <t>thriller</t>
  </si>
  <si>
    <t>Microsoft Pinball Arcade</t>
  </si>
  <si>
    <t>κάνει like</t>
  </si>
  <si>
    <t>Στη συνέχεια ισχυρίστηκε ότι η Minaj είχε προηγουμένως «κάνει like » σε σχόλια στα μέσα κοινωνικής δικτύωσης που μίλησαν αρνητικά για την ικανότητα της Cardi B να φροντίζει τη νεογέννητη κόρη της.</t>
  </si>
  <si>
    <t>light verb</t>
  </si>
  <si>
    <t>does' like</t>
  </si>
  <si>
    <t>verb_light_latin</t>
  </si>
  <si>
    <t>Cardi B</t>
  </si>
  <si>
    <t>Αυστραλία</t>
  </si>
  <si>
    <t>Όλα τα μεγάλα σαρκοφάγα μαρσιποφόρα εξαφανίστηκαν από την ηπειρωτική Αυστραλία λίγο μετά την έλευση των ανθρώπων.</t>
  </si>
  <si>
    <t>Διάβολος της Τασμανίας</t>
  </si>
  <si>
    <t>Τζόνι</t>
  </si>
  <si>
    <t>Οκτώ άνθρωποι έχουν γράψει και έχουν συνθέσει περισσότερες από μία συμμετοχές στην Ιρλανδία: ο Μπρένταν Γκράχαμ (1976, 1985, 1994, 1996), ο Τζόνι Λόγκαν (1984, 1987, 1992), οι Τόμι και Τζίμι Σουάρμπριγκ (1975, 1977), ο Λίαμ Ρέιλι (1990, 1991), ο Τζο Μπούρκετ (συνθέτης το 1972, στιχουργός το 1981) και οι Νίαλ Μούνεϊ &amp; Γιόνας Γκλάντνικοφ (2009, 2010).</t>
  </si>
  <si>
    <t>Συμμετοχή της Ιρλανδίας στη Eurovision</t>
  </si>
  <si>
    <t>μικροσκόπιο</t>
  </si>
  <si>
    <t>Δημιούργησαν ένα σχετικό πρακτικό όργανο, ένα μικροσκόπιο σάρωσης.</t>
  </si>
  <si>
    <t>microscope</t>
  </si>
  <si>
    <t>Μικροσκόπιο</t>
  </si>
  <si>
    <t>αλκάλιο</t>
  </si>
  <si>
    <t>Αποτελείται από δοχείο κατασκευασμένο από μονωτικό υλικό (εβονίτη, πλαστικό, γυαλί) με ηλεκτρολύτη (οξύ ή αλκάλιο), στο οποίο βυθίζονται τα ηλεκτρόδια.</t>
  </si>
  <si>
    <t>alkaline</t>
  </si>
  <si>
    <t>Ηλεκτρική μπαταρία</t>
  </si>
  <si>
    <t>φιλανθρωπικός</t>
  </si>
  <si>
    <t>Είναι ένας φιλανθρωπικός οργανισμός, τα κέρδη του πηγαίνουν στο Πανεπιστήμιο της Οξφόρδης.</t>
  </si>
  <si>
    <t>philanthropical</t>
  </si>
  <si>
    <t>Oxford University Press</t>
  </si>
  <si>
    <t>γεωπολιτική</t>
  </si>
  <si>
    <t>Η γεωπολιτική αποτελεί εργαλείο της στρατηγικής με κεντρικό σημείο την εθνική ισχύ και τον έλεγχο μίας γεωγραφικής επικράτειας.</t>
  </si>
  <si>
    <t>geopolitical</t>
  </si>
  <si>
    <t>Γεωπολιτική</t>
  </si>
  <si>
    <t>τουίτ</t>
  </si>
  <si>
    <t>Χρονολόγιο: 6 Ιανουαρίου 2021 8.17: Ο Πρόεδρος Τραμπ έστειλε τουίτ με τις υποψίες του για νοθεία στις εκλογές, και μία οδηγία για τον Αντιπρόεδρο Πενς: «Οι πολιτείες πρέπει να διορθώσουν τις ψήφους τους, οι οποίες ξέρουν καλά ότι βασίστηκαν σε παρατυπίες και εξαπάτηση, και οι περίεργες διεξαγωγές ποτέ δεν ευνοούνται από τους νομοθέτες.</t>
  </si>
  <si>
    <t>Δεύτερη δίκη του Ντόναλντ Τραμπ</t>
  </si>
  <si>
    <t>ξενοφοβία</t>
  </si>
  <si>
    <t>Ιδεολογικά, ο πολιτισμικός ρατσισμός σχετίζεται στενά με την ξενοφοβία, καθώς υιοθετεί και αυτός την άποψη πως άτομα ξένης προέλευσης δεν μπορούν να ενταχθούν στην κοινωνία και για αυτό πρέπει να «μείνουν στο είδος τους».</t>
  </si>
  <si>
    <t>xenophobia</t>
  </si>
  <si>
    <t>Ρατσισμός</t>
  </si>
  <si>
    <t>Τζένιφερ</t>
  </si>
  <si>
    <t>Η Τζένιφερ Λόπεζ ή «J.</t>
  </si>
  <si>
    <t>Jennifer Lopez</t>
  </si>
  <si>
    <t>Τζένιφερ Λόπεζ</t>
  </si>
  <si>
    <t>Ντέρεκ</t>
  </si>
  <si>
    <t>Οι Black Country Communion ήταν Βρετανό-Αμερικανικό χαρντ ροκ συγκρότημα, το οποίο δημιουργήθηκε το 2009 στο Λος Άντζελες από τον μπασίστα και τραγουδιστή Γκλεν Χιούζ (Deep Purple, Black Sabbath, κ.α.), τον κιθαρίστα και τραγουδιστή Τζο Μποναμάσα, τον κιμπορντίστα Ντέρεκ Σέρινιαν (Dream Theater) και το ντράμερ Τζέισον Μπόναμ (Led Zeppelin, UFO).</t>
  </si>
  <si>
    <t>Derek</t>
  </si>
  <si>
    <t>Black Country Communion</t>
  </si>
  <si>
    <t>τρακτέρ</t>
  </si>
  <si>
    <t>Μεταξύ του 1979 και του 1984, ανέπτυξε και παρήγαγε ένα είδος ελαφρύ φορτηγού σε εκδόσεις "ανοικτού" και "κλειστού" ταξί (όπου είχε κινητήρα Ντίζελ 18 hp Ruggerini, μέγιστη ταχύτητα 67 km/h, μπορούσε να μεταφέρει 1 τόνο ωφέλιμου φορτίου και διέθετε την ικανότητα να περνάει διά μέσου των αγρών), καθώς και μια σειρά από μοντέλα ελαφριών τρακτέρ.</t>
  </si>
  <si>
    <t>tracteur</t>
  </si>
  <si>
    <t>Διάνα (γεωργικά μηχανήματα)</t>
  </si>
  <si>
    <t>αεροζόλ</t>
  </si>
  <si>
    <t>Ένα αεροζόλ είναι ένα εναιώρημα μικροσκοπικών σωματιδίων υγρού, στερεού ή και των δύο μέσα σε ένα αέριο.</t>
  </si>
  <si>
    <t>aerosole</t>
  </si>
  <si>
    <t>Ατμός</t>
  </si>
  <si>
    <t>εβαπορέ</t>
  </si>
  <si>
    <t>Αυτό έχει ως αποτέλεσμα μια πηχτή και γλυκιά υφή για το ζαχαρούχο γάλα, σε αντίθεση με μια πιο άγλυκη και πιο ουδέτερη γεύση για το εβαπορέ.</t>
  </si>
  <si>
    <t>evaporé</t>
  </si>
  <si>
    <t>Ζαχαρούχο συμπυκνωμένο γάλα</t>
  </si>
  <si>
    <t>Σμιθ</t>
  </si>
  <si>
    <t>Αποκρυπτογραφήθηκε το 1870-1 από τον Άγγλο ασσυριολόγο Τζορτζ Σμιθ (George Smith, 1840-1876).</t>
  </si>
  <si>
    <t>Smith</t>
  </si>
  <si>
    <t>Κυπριακό συλλαβάριο</t>
  </si>
  <si>
    <t>Ίαν</t>
  </si>
  <si>
    <t>Η επανένωση Τον Απρίλιο του 1984 οι Deep Purple επανενώθηκαν με την κλασική σύνθεση τους, έχοντας τον Ρίτσι Μπλάκμορ στην κιθάρα, τον Ίαν Γκίλαν στα φωνητικά, τον Ρότζερ Γκλόβερ στο μπάσο, τον Τζον Λορντ στα πλήκτρα και τον Ίαν Πέις.</t>
  </si>
  <si>
    <t>Ian</t>
  </si>
  <si>
    <t>Ίαν Γκίλαν</t>
  </si>
  <si>
    <t>ψυχιατρικός</t>
  </si>
  <si>
    <t>H Αμερικανική Ψυχιατρική Εταιρεία (American Psychiatric Association, APA) είναι ο βασικός επαγγελματικός οργανισμός ψυχιάτρων και εκπαιδευόμενων ψυχιάτρων των Ηνωμένων Πολιτειών, και ο μεγαλύτερος ψυχιατρικός οργανισμός στον κόσμο.</t>
  </si>
  <si>
    <t>psychiatrical</t>
  </si>
  <si>
    <t>Αμερικανική Ψυχιατρική Εταιρεία</t>
  </si>
  <si>
    <t>Μοντάνα</t>
  </si>
  <si>
    <t>Λόγω της διαμόρφωσης των οροσειρών στο Εθνικό Πάρκο του Παγετώνα, το Northern Divide (που ξεκινά στη Χερσόνησο Seward της Αλάσκας) διασχίζει αυτήν την περιοχή και στρίβει ανατολικά στη Μοντάνα στο Triple Divide Peak.</t>
  </si>
  <si>
    <t>Montana</t>
  </si>
  <si>
    <t>ουάου</t>
  </si>
  <si>
    <t>Το 1977 ανιχνεύτηκε από επίγειο ραδιοτηλεσκόπιο το λεγόμενο Σήμα Ουάου!, ένα ραδιοσήμα με πιθανή προέλευση εκτός της Γης το οποίο εκτιμήθηκε πως προερχόταν από μια τοποθεσία βορειοδυτικά του Μεσιέ 55.</t>
  </si>
  <si>
    <t>Μεσιέ</t>
  </si>
  <si>
    <t>wow, monsieur</t>
  </si>
  <si>
    <t>Μεσιέ 55</t>
  </si>
  <si>
    <t>στράφι</t>
  </si>
  <si>
    <t>Οι Στράφοι ή το Στράφι είναι ακατοίκητος οικισμός στην βόρεια Εύβοια και την Περιφερειακή Ενότητα Εύβοιας.</t>
  </si>
  <si>
    <t>israf</t>
  </si>
  <si>
    <t>Στράφοι Εύβοιας</t>
  </si>
  <si>
    <t>ιαγουάρος</t>
  </si>
  <si>
    <t>Ο ιαγουάρος προτιμά τα ζώα τα οποία με λίγο κόπο τού δίνουν πολύ κρέας, όπως είναι τα μεγάλα τρωκτικά, δηλαδή τα καπιμπάρα, τα πάκα και οι δασύπρωκτοι.</t>
  </si>
  <si>
    <t>jaguar</t>
  </si>
  <si>
    <t>Ιαγουάρος</t>
  </si>
  <si>
    <t>Σούβα</t>
  </si>
  <si>
    <t>Επίσης, σημαντικά είναι και τα συμπλέγματα Λομαϊβίτι, έξω από τη Σούβα και τα απομακρυσμένα Λάου και η Ροτούμα, η οποία έχει διοικητικό καθεστώς.</t>
  </si>
  <si>
    <t>Suva</t>
  </si>
  <si>
    <t>Φίτζι</t>
  </si>
  <si>
    <t>αεροδρόμιο</t>
  </si>
  <si>
    <t>Μάλιστα, την πιο κρίσιμη στιγμή της αποστολής, ενώ πετούσε πάνω από τα τουρκικά πολυβολεία κοντά στο αεροδρόμιο, κινδύνεψε να καταρριφθεί, καθώς το αεροσκάφος του δεν ήταν δυνατόν, λόγω της βλάβης, να πάρει το απαραίτητο ύψος.</t>
  </si>
  <si>
    <t>aeroport &gt; aero + path &gt; aerodromio</t>
  </si>
  <si>
    <t>Αριστείδης Μωραϊτίνης (αεροπόρος)</t>
  </si>
  <si>
    <t>φραμπουάζ</t>
  </si>
  <si>
    <t>Οκτάρια Τρι Τριάντα ένα (Thirty One) [ΜΙΚΤΟ] Τριόμφο [TEXNIKO] Τριτσέτι [TEXNIKO] Τσιγκουϊνέτο ή Ντόμινο [TEXNIKO] Τσογολί [ΜΙΚΤΟ] Φαν Ταν (Fan Tan) Φαραώ [ΤΥΧΕΡΟ] Φιρφιρίκι Φράμπουλα ή Φραμπουάζ [ΤΥΧΕΡΟ] Χαρακίρι [ΜΙΚΤΟ] Χόλλυγουντ -&gt; βλ.</t>
  </si>
  <si>
    <t>framboise</t>
  </si>
  <si>
    <t>Τράπουλα</t>
  </si>
  <si>
    <t>Μόργκαν</t>
  </si>
  <si>
    <t>Πρώτα χρόνια Ο Μόργκαν Φρίμαν γεννήθηκε την 1η Ιουνίου 1937 στο Μέμφις του Τενεσί.</t>
  </si>
  <si>
    <t>Morgan</t>
  </si>
  <si>
    <t>Μόργκαν Φρίμαν</t>
  </si>
  <si>
    <t>μανικιούρ</t>
  </si>
  <si>
    <t>Το μανικιούρ αποτελείται από την τοποθέτηση και τον σχηματισμό της.</t>
  </si>
  <si>
    <t>manicure</t>
  </si>
  <si>
    <t>Πεντικιούρ</t>
  </si>
  <si>
    <t>ραδιόφωνο</t>
  </si>
  <si>
    <t>Το Ραδιόφωνο δεν είναι το «υπεύθυνο για την κατάσταση της κοινωνίας μέσο» (όπως παρουσιάζεται η τηλεόραση), αλλά χαρακτηρίζεται από την ένταση του λόγου και της μουσικής που μεταδίδει, της αμεσότητας, αλλά και της υποβολής.</t>
  </si>
  <si>
    <t>radiophone</t>
  </si>
  <si>
    <t>Ραδιόφωνο</t>
  </si>
  <si>
    <t>ρεφρέν</t>
  </si>
  <si>
    <t>Ρεφρέν Des bords de l'Océan au cœur de la forêt, Demeurons vigilants, sans faiblesse et sans haine!</t>
  </si>
  <si>
    <t>refrain</t>
  </si>
  <si>
    <t>La Concorde</t>
  </si>
  <si>
    <t>Αβερόν</t>
  </si>
  <si>
    <t>Γεωγραφία Ο νομός Αβερόν  ανήκει στη διοικητική περιοχή Οξιτανία.</t>
  </si>
  <si>
    <t>Aveyron</t>
  </si>
  <si>
    <t>Αβερόν (νομός)</t>
  </si>
  <si>
    <t>Λέοναρντ</t>
  </si>
  <si>
    <t>Ο Όιλερ εκείνη την εποχή σπούδαζε Ελληνική και Εβραϊκή θεολογία, ύστερα από προτροπή του πατέρα του, με σκοπό να γίνει πάστορας, αλλά ο Μπερνούλι κατάφερε να πείσει τον Πάουλ Όιλερ ότι ο Λέοναρντ επρόκειτο να γίνει ένας σπουδαίος μαθηματικός.</t>
  </si>
  <si>
    <t>Leonard</t>
  </si>
  <si>
    <t>Λέοναρντ Όιλερ</t>
  </si>
  <si>
    <t>αμπρί</t>
  </si>
  <si>
    <t>Σημαντικός είναι επίσης ο αρχαιολογικός χώρος του σπηλαίου Αμπρί ντε λα Μαντλέν.</t>
  </si>
  <si>
    <t>abri</t>
  </si>
  <si>
    <t>Δορδόνη (νομός)</t>
  </si>
  <si>
    <t>λιδοκαΐνη</t>
  </si>
  <si>
    <t>Αναισθητικά φάρμακα, όπως η τοπική λιδοκαΐνη, μπορεί επίσης να βοηθήσουν.</t>
  </si>
  <si>
    <t>lidocaine</t>
  </si>
  <si>
    <t>Φαρυγγίτιδα</t>
  </si>
  <si>
    <t>μοντάζ</t>
  </si>
  <si>
    <t>Παρά τη διαμάχη γύρω από την ιστορική απεικόνιση που κάνει, η ταινία JFK έλαβε θετικές κριτικές για τις ερμηνείες των ηθοποιών, τη σκηνοθεσία, το σενάριο, το μοντάζ και τη φωτογραφία.</t>
  </si>
  <si>
    <t>montage</t>
  </si>
  <si>
    <t>JFK, η Ιστορία που Χαράχτηκε στη Μνήμη μας</t>
  </si>
  <si>
    <t>σουτιέν</t>
  </si>
  <si>
    <t>Ο σχεδιασμός του αποτελείται από δύο τρίγωνα υφάσματος που σχηματίζουν ένα σουτιέν και δύο τριγωνικά κομμάτια από ύφασμα που καλύπτουν το εφηβαίο και τους γλουτούς που συνδέονται με χορδή.</t>
  </si>
  <si>
    <t>soutien</t>
  </si>
  <si>
    <t>Μπικίνι</t>
  </si>
  <si>
    <t>τζετ σκι</t>
  </si>
  <si>
    <t>Το Wave Race 64 είναι βιντεοπαιχνίδι αγώνων με τζετ σκι το οποίο αναπτύχθηκε και κυκλοφόρησε από την Nintendo για την κονσόλα Nintendo 64 το 1996 σε Αμερική και Ιαπωνία και το 1997 στην Ευρώπη.</t>
  </si>
  <si>
    <t>jet ski</t>
  </si>
  <si>
    <t>Wave Race 64</t>
  </si>
  <si>
    <t>Τζόνσον</t>
  </si>
  <si>
    <t>Ο μεταλλουργός Νόρτον Τζόνσον (Norton Johnson), ιδρυτής της Βρεττανικής χημικής εταιρείας Johnson Matthey, αναφέρει το 1837 τη χρήση κραμάτων παλλαδίου σε χρονόμετρα και σε χάλυβες καθώς και οδοντιατρικά κράματα με περιεκτικότητα 80 % σε παλλάδιο και 20 % σε ασήμι.</t>
  </si>
  <si>
    <t>Johnson</t>
  </si>
  <si>
    <t>Παλλάδιο</t>
  </si>
  <si>
    <t>Kaizoku-Ban είναι ο τίτλος του ζωντανά ηχογραφημένου ΕΡ του γερμανικού metal συγκροτήματος Accept, το οποίο κυκλοφόρησε το 1985 από την "RCA Records" στην Ευρώπη και από την "Portrait Records" στην Αμερική.</t>
  </si>
  <si>
    <t>Kaizoku-Ban</t>
  </si>
  <si>
    <t>σούπα</t>
  </si>
  <si>
    <t>Η σούπα, μπορεί να περιέχει πράσινες, καφέ, κόκκινες, κίτρινες ή μαύρες φακές, με ή χωρίς φλοιό.</t>
  </si>
  <si>
    <t>sopa</t>
  </si>
  <si>
    <t>Φακές</t>
  </si>
  <si>
    <t>μπαν</t>
  </si>
  <si>
    <t>Ο Κροάτης Μπαν Γιούραϊ Β.</t>
  </si>
  <si>
    <t>transliterated proper name</t>
  </si>
  <si>
    <t>Κροάτες</t>
  </si>
  <si>
    <t>ραντό</t>
  </si>
  <si>
    <t>Παραπομπές Πηγές Το λήμμα «Βαλερύ-Ραντό Ρενέ» στη Νέα Ελληνική Εγκυκλοπαίδεια «Χάρη Πάτση», τόμος 7, σελ.</t>
  </si>
  <si>
    <t>radeau</t>
  </si>
  <si>
    <t>Λουί Παστέρ Βαλερύ-Ραντό</t>
  </si>
  <si>
    <t>σουπερμάρκετ</t>
  </si>
  <si>
    <t>Διατίθενται πακεταρισμένα αεροστεγώς ή κονσερβοποιημένα στα σουπερμάρκετ.</t>
  </si>
  <si>
    <t>supermarket</t>
  </si>
  <si>
    <t>Αλλαντικό</t>
  </si>
  <si>
    <t>κίουι</t>
  </si>
  <si>
    <t>Το σχήμα του διαφέρει μεταξύ των διαφόρων ειδών και, μπορεί να είναι κωνικό στα κίουι, πτερυγωτό στη στρουθοκάμηλο και πτυχωμένο στα περισσότερα άλλα πτηνά.</t>
  </si>
  <si>
    <t>kiwi</t>
  </si>
  <si>
    <t>Ανατομική και φυσιολογία πτηνών</t>
  </si>
  <si>
    <t>σεξισμός</t>
  </si>
  <si>
    <t>Σεξισμός ή έμφυλη διάκριση είναι μία προκατάληψη ή διάκριση σχετικά με το φύλο ενός ατόμου (βιολογικό και κοινωνικό).</t>
  </si>
  <si>
    <t>sexism</t>
  </si>
  <si>
    <t>Σεξισμός</t>
  </si>
  <si>
    <t>αφίσα</t>
  </si>
  <si>
    <t>Για οικονομικούς λόγους, το στούντιο έκανε πίσω και στους δύο όρους της συμφωνίας, ειδικά με την αφίσα, όπου το Τζίνι καταλάμβανε το 25% της εικόνας και άλλοι, βασικοί και δευτερεύοντες, χαρακτήρες παρουσιάζονταν πολύ μικρότεροι.</t>
  </si>
  <si>
    <t>affiche</t>
  </si>
  <si>
    <t>Αλαντίν (ταινία, 1992)</t>
  </si>
  <si>
    <t>Ρότζερ</t>
  </si>
  <si>
    <t>Ο σκηνοθέτης της ταινίας Ο Όλιβερ και η παρέα του Τζορτζ Σκρίμπνερ ήταν ο αρχικός σκηνοθέτης της ταινίας, με τον Ρότζερ Άλερς, ο οποίος ήταν ο κύριος συγγραφέας της ιστορίας της Πεντάμορφης και του Τέρατος τον Οκτώβριο του 1991, να προστίθεται αργότερα.</t>
  </si>
  <si>
    <t>Roger</t>
  </si>
  <si>
    <t>ναΐφ</t>
  </si>
  <si>
    <t>Τα πέτρινα γλυπτά του Λάβοσλαβ Τόρτι και του Πέταρ Σμάγιτς αποτελούν τα πρώτα παραδείγματα της κροατικής ναΐφ γλυπτικής.</t>
  </si>
  <si>
    <t>naïve</t>
  </si>
  <si>
    <t>Κροατικό Μουσείο Ναΐφ Τέχνης</t>
  </si>
  <si>
    <t>download</t>
  </si>
  <si>
    <t>Έχουν παίξει σε φεστιβάλ παγκοσμίως, συμπεριλαμβανομένων των Unholy Alliance, Download και Ozzfest.</t>
  </si>
  <si>
    <t>Slayer</t>
  </si>
  <si>
    <t>πάνελ</t>
  </si>
  <si>
    <t>Οι πτέρυγες περιλάμβαναν μια ποικιλία από αγγέλους, δωρητές και Αγίους, αλλά δεν υφίσταται ποτέ άμεση οπτική επαφή και μόνο σπάνια υπήρχε μια αφηγηματική σύνδεση με τις μορφές του κεντρικού πάνελ.</t>
  </si>
  <si>
    <t>panel</t>
  </si>
  <si>
    <t>Πρώιμη φλαμανδική ζωγραφική</t>
  </si>
  <si>
    <t>ατζέντα</t>
  </si>
  <si>
    <t>Η φεμινιστική ατζέντα αγνοούσε το γεγονός πως πολλές γυναίκες δεν ήταν νοικοκυρές και ότι δούλευαν ολόκληρη τη ζωή τους για να βοηθήσουν τις οικογένειές τους.</t>
  </si>
  <si>
    <t>agenda</t>
  </si>
  <si>
    <t>Γυναικισμός</t>
  </si>
  <si>
    <t>κίνα</t>
  </si>
  <si>
    <t>Όπως φαίνεται και στο σχετικό πίνακα, η χώρα με τη μεγαλύτερη παραγωγή ινδίου είναι η Κίνα η οποία καλύπτει πάνω από το 50 % της παγκόσμιας παραγωγής.</t>
  </si>
  <si>
    <t>quina</t>
  </si>
  <si>
    <t>Ίνδιο</t>
  </si>
  <si>
    <t>καμβάς</t>
  </si>
  <si>
    <t>1658–60 (πάνελ) Ένα ζευγάρι το πρωί – 1665 (καμβάς) Ζευγάρι με παπαγάλο – περ.</t>
  </si>
  <si>
    <t>canvas</t>
  </si>
  <si>
    <t>Πίτερ ντε Χόοχ</t>
  </si>
  <si>
    <t>κολιέ</t>
  </si>
  <si>
    <t>Ανάμεσα στις πιο διάσημες δημιουργίες τους είναι το δόρυ Γκούνγκνιρ και το χρυσό δαχτυλίδι Ντράουπνιρ του Οντίν, το σφυρί Μγιόλνιρ του Θωρ, τα χρυσά μαλλιά της Σιφ, το κολιέ Μπρισινγκάμεν της Φρέγια και το πλοίο Σκιντμπλάντνιρ του Φρέι.</t>
  </si>
  <si>
    <t>collier</t>
  </si>
  <si>
    <t>Νάνοι Σκανδιναβικής μυθολογίας</t>
  </si>
  <si>
    <t>αβαντάζ</t>
  </si>
  <si>
    <t>Οι λόγοι για τους οποίους ένας αγώνας κρίκετ διακόπτεται μέχρι να σταματήσει η βροχή είναι οι εξής:  η βροχή κάνει την πίστα γλιστερή, δίνοντας έτσι αθέμιτο αβαντάζ στην παραταγμένη ομάδα.</t>
  </si>
  <si>
    <t>avantage</t>
  </si>
  <si>
    <t>Κρίκετ</t>
  </si>
  <si>
    <t>Βρετάνη</t>
  </si>
  <si>
    <t>Η Βρετάνη αποτελεί μια ιστορική, γεωγραφική και πολιτισμική οντότητα (συχνά αποκαλείται και "ιστορική Βρετάνη" ώστε να διαφοροποιείται από τη διοικητική περιοχή της Βρετάνης).</t>
  </si>
  <si>
    <t>Britain</t>
  </si>
  <si>
    <t>κραγιόν</t>
  </si>
  <si>
    <t>Οι παγιδευτές φορούσαν κραγιόν για να συμβολίσουν την ανεξαρτησία τους.</t>
  </si>
  <si>
    <t>crayon</t>
  </si>
  <si>
    <t>Κραγιόν</t>
  </si>
  <si>
    <t>σέρβερ</t>
  </si>
  <si>
    <t>Ο κύριος σκοπός της Google Αναζήτησης είναι να ψάχνει για κείμενο σε δημόσια προσβάσιμα έγγραφα που παρέχονται από σέρβερ, σε αντίθεση με άλλα δεδομένα, όπως η υπηρεσία αναζήτησης Google Images.</t>
  </si>
  <si>
    <t>Αναζήτηση Google</t>
  </si>
  <si>
    <t>βαλς</t>
  </si>
  <si>
    <t>Ο σύλλογος μετακόμισε στη μέχρι σήμερα έδρα του, το ΕΜ Στάντιον Βαλς-Σίτσενχαϊμ, το 2003.</t>
  </si>
  <si>
    <t>vals</t>
  </si>
  <si>
    <t>ΦΚ Ρεντ Μπουλ Σάλτσμπουργκ</t>
  </si>
  <si>
    <t>χατ τρικ</t>
  </si>
  <si>
    <t>Το χατ τρικ ή χατ-τρικ (αγγλικά: hat-trick) είναι ένας όρος που χρησιμοποιείται σε διάφορα αθλήματα για να δηλώσει την εξαιρετική επίδοση ενός αθλητή, ο οποίος έχει επαναλάβει μια επιτυχία τρεις φορές, όπως τρία τέρματα ή τρεις συνεχόμενες νίκες σε αγώνες.</t>
  </si>
  <si>
    <t>hat trick</t>
  </si>
  <si>
    <t>Χατ τρικ</t>
  </si>
  <si>
    <t>καλοριφέρ</t>
  </si>
  <si>
    <t>Κοινώς, όταν λέμε καλοριφέρ εννοούμε γενικά το σύστημα θέρμανσης, ενώ σώμα καλοριφέρ εννοούμε το θερμαντικό σώμα με το οποίο μεταδίδεται η θέρμανση.</t>
  </si>
  <si>
    <t>calorifeur</t>
  </si>
  <si>
    <t>Καλοριφέρ</t>
  </si>
  <si>
    <t>Τζούλια</t>
  </si>
  <si>
    <t>2001-2010 Το 2001 η Τζούλια Ρόμπερτς πήρε στα χέρια της το πολυπόθητο Όσκαρ Α' Γυναικείου Ρόλου για την ταινία Έριν Μπρόκοβιτς.</t>
  </si>
  <si>
    <t>Julia</t>
  </si>
  <si>
    <t>Τζούλια Ρόμπερτς</t>
  </si>
  <si>
    <t>έκανε check</t>
  </si>
  <si>
    <t>Μετά τη διάλυση των Sex Pistols, το ζευγάρι μετακόμισε στη Νέα Υόρκη και έκανε check in στο Hotel Chelsea όπου πέρασαν τον χρόνο τους καταναλώνοντας ναρκωτικά.</t>
  </si>
  <si>
    <t>did' check</t>
  </si>
  <si>
    <t>Νάνσι Σπούνγζεν</t>
  </si>
  <si>
    <t>Βερόνικα</t>
  </si>
  <si>
    <t>Για τον 2ο κύκλο, ο συνθέτης ανακοίνωσε την κυκλοφορία μεταποιημένων ορχηστρικών και καινούριων τραγουδιών, που ερμηνεύουν οι: Θέμης Αδαμαντίδης, Μπάμπης Βελλισάριος, η Βερόνικα Νταβάκη και ο Πάνος Παπαϊωάννου.</t>
  </si>
  <si>
    <t>Veronica</t>
  </si>
  <si>
    <t>Λόγω τιμής</t>
  </si>
  <si>
    <t>Ιλ-ντε-Φρανς</t>
  </si>
  <si>
    <t>Γεωγραφικά στοιχεία Ο νομός Ιβλίν αποτελεί τμήμα της περιοχής Ιλ-ντε-Φρανς.</t>
  </si>
  <si>
    <t>Ile-de-France</t>
  </si>
  <si>
    <t>Ιβλίν</t>
  </si>
  <si>
    <t>μπιμπερό</t>
  </si>
  <si>
    <t>Τα μωρά γεννιούνται με ένα αντανακλαστικό πιπίλισμα που τους επιτρέπει να εξαγάγουν το γάλα από τις θηλές των μαστών ή από το μπιμπερό, καθώς και με μια ενστικτώδη συμπεριφορά γνωστή ως ριζοβολία με την οποία αναζητούν τη θηλή.</t>
  </si>
  <si>
    <t>biberon</t>
  </si>
  <si>
    <t>Βρέφος</t>
  </si>
  <si>
    <t>σαμποτέρ</t>
  </si>
  <si>
    <t>276  Εξωτερικοί σύνδεσμοι  Σαμποτέρ στην IMDb (Αγγλικά) Σαμποτέρ στο AllMovie (Αγγλικά) Σαμποτέρ στο Rotten Tomatoes (Αγγλικά) Σαμποτέρ στο Metacritic (Αγγλικά) Σαμποτέρ στο Box Office Mojo (Αγγλικά) Σαμποτέρ στο TCMDB (Αγγλικά) Σαμποτέρ στο AlloCine (Γαλλικά) Σαμποτέρ στο Cine.gr (αρχειοθετημένος)</t>
  </si>
  <si>
    <t>saboteur</t>
  </si>
  <si>
    <t>Σαμποτέρ (ταινία)</t>
  </si>
  <si>
    <t>βοτανική</t>
  </si>
  <si>
    <t>Στις αρχές του 13ου αιώνα ο αραβοανδαλουσιανός βιολόγος Αμπού αλ Αμπάς αλ Ναμπάτι ανέπτυξε μία επιστημονική μέθοδο για την βοτανική εισάγοντας εμπειρικές και πειραματικές μεθόδους στις δοκιμές, την περιγραφή και την αναγνώριση των διάφορων materia medica (φαρμακολογία) και διαχώρισε ανεπιβεβαίωτες αναφορές από αυτές που υποστηρίζονταν από υπαρκτές δοκιμές και παρατηρήσεις.</t>
  </si>
  <si>
    <t>botanical</t>
  </si>
  <si>
    <t>Ιστορία της βιολογίας</t>
  </si>
  <si>
    <t>δημοτική</t>
  </si>
  <si>
    <t>Αξίζει να αναφερθεί η απόδοση του Γεωργίου Τσουκαλά το 1954, που γνώρισε πολλές επανεκδόσεις, του Αντώνη Σιμιτζή το 1993, του Μάριου Βερέττα (αντικριστά με το πρωτότυπο) το 2005 και του Δημήτρη Καλοκύρη το 2005, και, πιο πρόσφατα, σε μεταγραφή στη δημοτική και επιμέλεια του Δημήτρη Φύσσα.</t>
  </si>
  <si>
    <t>démotique</t>
  </si>
  <si>
    <t>Πάπισσα Ιωάννα</t>
  </si>
  <si>
    <t>γεωθερμικός</t>
  </si>
  <si>
    <t>Στις κλειστού τύπου εφαρμογές ο γεωθερμικός εναλλάκτης (οριζόντιος ή κατακόρυφος) αποτελείται από ένα κλειστό κύκλωμα νερού που είναι θαμμένο στη γη και απορροφάει ενέργεια συνεχώς.</t>
  </si>
  <si>
    <t>geothermical</t>
  </si>
  <si>
    <t>Αντλία θερμότητας</t>
  </si>
  <si>
    <t>Γουόλτερ</t>
  </si>
  <si>
    <t>Κατά τον παραγωγό κλασικής μουσικής Χάρι Γουόλτερ Λεγκ, η Κάλλας κατείχε το πλέον βασικό χαρακτηριστικό ενός σπουδαίου τραγουδιστή, μια άμεσα αναγνωρίσιμη φωνή.</t>
  </si>
  <si>
    <t>Walter</t>
  </si>
  <si>
    <t>Μαρία Κάλλας</t>
  </si>
  <si>
    <t>εποποιία</t>
  </si>
  <si>
    <t>Το 1964 συνέγραψε για λογαριασμό του Γενικού Επιτελείου Στρατού το χρονικό του πολέμου, το οποίο εκδόθηκε με τον τίτλο Ελληνική Εποποιία 1940-41.</t>
  </si>
  <si>
    <t>épopée</t>
  </si>
  <si>
    <t>Άγγελος Τερζάκης</t>
  </si>
  <si>
    <t>αβανγκάρντ</t>
  </si>
  <si>
    <t>Χαρακτηριστικά Το είδος της αβανγκάρντ μέταλ είναι συνώνυμο με το πειραματικό μέταλ και το αβάν-μέταλ, αλλά μπορεί να αναφέρεται και σε ξεχωριστό είδος της ατμοσφαιρικής μέταλ ή της μετα-μέταλ, η οποία ονομάστηκε με αναφορά για τη μετα-ροκ.</t>
  </si>
  <si>
    <t>avant garde</t>
  </si>
  <si>
    <t>Αβανγκάρντ μέταλ</t>
  </si>
  <si>
    <t>οτοστόπ</t>
  </si>
  <si>
    <t>Απέκτησε διεθνή φήμη με την ταινία Αγώνας επιβιώσεως και συμμετείχε σε αμερικανικές ταινίες όπως στην ταινία Το γεράκια της νύχτας και στην ταινία επιστημονικής φαντασίας Blade Runner (1982), οι οποίες του χάρισαν ρόλους πρωταγωνιστικούς όπως στις ταινίες Όστερμαν, το 48ωρο των κατασκόπων, Ο λύκος και το γεράκι, Σάρκα και αίμα, Το οτοστόπ του τρόμου, Απόδραση από το Σομπιμπόρ (για την οποία κέρδισε Χρυσή Σφαίρα Β' Ανδρικού Ρόλου), Τυφλός σαμουράι, Σώμα με σώμα και Φυλακές υψίστης ασφαλείας.</t>
  </si>
  <si>
    <t>autostop</t>
  </si>
  <si>
    <t>Ρούτγκερ Χάουερ</t>
  </si>
  <si>
    <t>Φίλιπ</t>
  </si>
  <si>
    <t>Κατά τον Φίλιπ Φρεντς της Guardian, η ταινία ήταν «οπτικά εκπληκτική», με την Κάλλας «στο κέντρο της μόνης της ταινίας, μια επιβλητική παρουσία με τα τεράστια καστανά μάτια της».</t>
  </si>
  <si>
    <t>Philipe</t>
  </si>
  <si>
    <t>hack</t>
  </si>
  <si>
    <t>swiss.re), από όσους ασχολούνται με το reverse engineering, καθώς και ως domain hack για λέξεις που τελειώνουν σε -re (όπως adventu.re ή nearfutu.re), παρόμοια με τις συντομεύσεις που χρησιμοποιούνται σε άλλες καταλήξεις TLD (όπως τα bit.ly και delicio.us).</t>
  </si>
  <si>
    <t>reverse engineering</t>
  </si>
  <si>
    <t>.re</t>
  </si>
  <si>
    <t>Χάρι</t>
  </si>
  <si>
    <t>Κατά τη διάρκεια των γυρισμάτων των ταινιών Χάρι Πότερ, η Γουάτσον και οι συνομήλικοί συμπρωταγωνιστές της έκαναν ιδιαίτερα μαθήματα από παιδαγωγό μέχρι και πέντε ώρες την ημέρα.</t>
  </si>
  <si>
    <t>Harry Potter</t>
  </si>
  <si>
    <t>Έμα Γουάτσον</t>
  </si>
  <si>
    <t>ασανσέρ</t>
  </si>
  <si>
    <t>Σήμερα έχει επικρατήσει ο γαλλικός όρος ασανσέρ για τον ανελκυστήρα ή ανυψωτήρα που χρησιμοποιείται στα πολυώροφα κτίρια.</t>
  </si>
  <si>
    <t>ascenseur</t>
  </si>
  <si>
    <t>Ανελκυστήρας</t>
  </si>
  <si>
    <t>βίντεο</t>
  </si>
  <si>
    <t>Σε διεθνείς αγώνες και σε αρκετές εθνικές επαγγελματικές διοργανώσεις υπάρχουν και 2 βοηθοί διαιτητές δίπλα στο κάθε τέρμα, καθώς και διαιτητές που έχουν τη δυνατότητα να δουν φάσεις σε βίντεο.</t>
  </si>
  <si>
    <t>video</t>
  </si>
  <si>
    <t>Ποδόσφαιρο</t>
  </si>
  <si>
    <t>σουλφίδιο</t>
  </si>
  <si>
    <t>Αντίθετα, το σουλφίδιο μετατρέπεται σε υδροσουλφίδιο:  S2− + H2O → SH− + OH− Κατά την επεξεργασία με ένα οξύ, τα θειούχα άλατα μετατρέπονται σε υδρόθειο:  S2− + H+ → SH− SH− + H+ → H2S Η οξείδωση του σουλφιδίου είναι μια πολύπλοκη διαδικασία.</t>
  </si>
  <si>
    <t>sulphide</t>
  </si>
  <si>
    <t>Σουλφίδια</t>
  </si>
  <si>
    <t>αλκοόλ</t>
  </si>
  <si>
    <t>Ο Παγκόσμιος Οργανισμός Υγείας (ΠΟΥ) εκτιμά ότι υπάρχουν 283 εκατομμύρια άνθρωποι με διαταραχές χρήσης αλκοόλ παγκοσμίως (2016).</t>
  </si>
  <si>
    <t>alcohol</t>
  </si>
  <si>
    <t>Αλκοολισμός</t>
  </si>
  <si>
    <t>ηλεκτρικός</t>
  </si>
  <si>
    <t>Ο ηλεκτρικός συσσωρευτής χαρακτηρίζεται από τη χωρητικότητα, δηλ.</t>
  </si>
  <si>
    <t>electrical</t>
  </si>
  <si>
    <t>Precision</t>
  </si>
  <si>
    <t>Global</t>
  </si>
  <si>
    <t>Asturian</t>
  </si>
  <si>
    <t>Basque</t>
  </si>
  <si>
    <t>Greek</t>
  </si>
  <si>
    <t>category</t>
  </si>
  <si>
    <t>Franz Jägerstätter, oxetor de conciencia.</t>
  </si>
  <si>
    <t>established</t>
  </si>
  <si>
    <t>Decapitamientu</t>
  </si>
  <si>
    <t>Persones relevantes Alexandru Magnu (356-323 e.</t>
  </si>
  <si>
    <t>Davezu empléguense como “armes” una mano o un pie (que tienen distintes superficies de contautu posibles), pero tamién pueden usase los deos de les manes o de los pies, la cabeza, el coldu, un nudiellu, o una rodiya.</t>
  </si>
  <si>
    <t>Rompimientos (artes marciales)</t>
  </si>
  <si>
    <t>El Furacán de Galveston de 1900, que fizo entrada en tierra en Galveston (Texas) con una estimación de Categoría 4, acabó cola vida de 8.000 a 12.000 persones y sigue siendo'l desastre natural más mortíferu na hestoria d'Estaos Xuníos.</t>
  </si>
  <si>
    <t>usté</t>
  </si>
  <si>
    <t>La historia clasifícase  Disciplines y ciencies auxiliares de la historia  Arqueoloxía Epigrafía Historiografía Numismática  Referencies Ver tamién Repertoriu de fechos  Nota: Si usté fai dalguna aportación nesti sen en Wikipedia, rogamos-y que consulte primero la seición de plantilles de cronoloxía, pa asina algamar una coherencia ente tolos autores.</t>
  </si>
  <si>
    <t>Historia</t>
  </si>
  <si>
    <t>Los materiales emplegaos na so construcción pueden ser de piedra, llamaos doveles, lladriyu, aceru, formigón armao, etcétera.</t>
  </si>
  <si>
    <t>Bóveda</t>
  </si>
  <si>
    <t>Notes d'usu Planchar tán disponibles como un productu de consumu a precios accesibles.</t>
  </si>
  <si>
    <t>Plancha de ropa</t>
  </si>
  <si>
    <t>En Colombia l'aguacate más estendíu ye de piel verde y carne mariello.</t>
  </si>
  <si>
    <t>Sicasí, el respaldu que delles figures del mundu políticu diéron-y a esta película dio credibilidá y prestíu al filme.</t>
  </si>
  <si>
    <t>La Llista Roxa d'Especies Amenazaes de la UICN (tamién denominada en delles ocasiones como'l Llibru Coloráu), creada en 1963, ye l'inventariu más completu del Estáu de caltenimientu d'especies d'animales y plantes a nivel mundial.</t>
  </si>
  <si>
    <t>Llista Bermeya de la UICN</t>
  </si>
  <si>
    <t>Tomás Becket (1118-1170): santu y mártir, arzobispu de Canterbury.</t>
  </si>
  <si>
    <t>Sieglu XII</t>
  </si>
  <si>
    <t>Mitoloxía Yera un pequeñu cangrexu qu'unvió la diosa Hera p'acabar cola vida d'Heracles mentanto esti lluchaba escontra la Hidra.</t>
  </si>
  <si>
    <t>Cáncer (constelación)</t>
  </si>
  <si>
    <t>Cuatro estrato xeolóxicos, sedimentos marinos previstos 90-100 con tiza en superior y mediu percima de la tiza más baxa llixeramente permeable y finalmente impermeables y un estratu arenosu.</t>
  </si>
  <si>
    <t>Eurotúnel</t>
  </si>
  <si>
    <t>polu</t>
  </si>
  <si>
    <t>Tolos planetes y satélites tienen un polu Norte que defínese d'esta manera y que nun ye necesariamente perpendicular al exe de tresllación (por exemplu na Tierra tien un ángulu de 23,5 º y n'Uranu de 90 º).</t>
  </si>
  <si>
    <t>Polu Norte</t>
  </si>
  <si>
    <t>Escuchando col estetoscopiu l'arteria braquial nel coldu, l'esaminador llibera amodo la presión nel brazalete.</t>
  </si>
  <si>
    <t>Presión sanguínea</t>
  </si>
  <si>
    <t>L'antecesora de les Naciones Xuníes foi la Sociedá de Naciones, organización fundada tres la Primer Guerra Mundial en 1919, pa promover la cooperación internacional y consiguir la paz y la seguridá.</t>
  </si>
  <si>
    <t>Organización de les Naciones Xuníes</t>
  </si>
  <si>
    <t>El so orixe como téunica y xéneru lliterariu ta nel sieglu XVII n'español, siendo'l so meyor exemplu Don Quixote de la Mancha (1605) de Miguel de Cervantes.</t>
  </si>
  <si>
    <t>Novela</t>
  </si>
  <si>
    <t>La exa o raquis ye la parte allargada del tarmu que lleva les cañes floríferas; si ye curtiu y ta enancháu en forma de platu llámase receptáculu común.</t>
  </si>
  <si>
    <t>Inflorescencia</t>
  </si>
  <si>
    <t>Inclusive cuando se siente añoranza o murria pol pasáu, esa emoción sentir dende'l presente, y lo mesmo puede dicise de la medrana al futuru.</t>
  </si>
  <si>
    <t>Poema</t>
  </si>
  <si>
    <t>automóvil</t>
  </si>
  <si>
    <t>Referencies Enllaces esternos   Wikimedia Commons tien conteníu multimedia tocante a Automóvil.</t>
  </si>
  <si>
    <t>Automóvil</t>
  </si>
  <si>
    <t>El prestixu etíope vién-y de tener sío l'únicu estáu africanu que llogró resistir militarmente l'anexión por dalguna de les potencies europees que se repartieron el continente nel sieglu XIX, y esto fizo que munches naciones africanes adoptaran los colores de la bandera etíope de la qu'inventaron una bandera nacional dempués d'algamar la independencia.</t>
  </si>
  <si>
    <t>Etiopía</t>
  </si>
  <si>
    <t>médicu</t>
  </si>
  <si>
    <t>Santiago Ramón y Cajal, médicu y fisiólogu; Premiu Nobel en Fisioloxía o Medicina.</t>
  </si>
  <si>
    <t>Universidá de Barcelona</t>
  </si>
  <si>
    <t>La principal tema representada foi'l paisaxe, de cutiu con elementos como flores y páxaros, y yera avezáu la combinación de pintura y poesía (haiga).</t>
  </si>
  <si>
    <t>Arte de Xapón</t>
  </si>
  <si>
    <t>Güelga El Yali, en Chile.</t>
  </si>
  <si>
    <t>Ver tamién Agües negres Agües grises Bacín Orinal Instalaciones de los edificios Retretes en Xapón Día Mundial del Retrete Retrete ecolóxicu secu con separación de la orina Saneamientu ecolóxicu  Referencies Enllaces esternos   Wikimedia Commons tien conteníu multimedia tocante a Retrete.</t>
  </si>
  <si>
    <t>watt</t>
  </si>
  <si>
    <t>Watt descubrió que la máquina de Newcomen taba gastando cuasi tres cuartos de la enerxía del vapor en calecer el pistón y el cilindru.</t>
  </si>
  <si>
    <t>James Watt</t>
  </si>
  <si>
    <t>La cintura de la falda empezó a tar asitiada al altor del pechu (debaxo de los senos) y foi baxando pasu ente pasu hasta la cintura.</t>
  </si>
  <si>
    <t>L'accesu a la terraza del Hadish facer por una escalera monumental al este, de doble entamo, primero diverxentes y depués converxentes, y una escalera más pequeña de tramos converxentes al oeste; as dos presenten la mesma decoración que la escalera sur del Tachara: toros y lleones, guardias perses, discu aláu y esfinxe.</t>
  </si>
  <si>
    <t>ḥenu</t>
  </si>
  <si>
    <t>Úsase pa pallabres como ḥou, ḥenu, o ḥoquei.</t>
  </si>
  <si>
    <t>H</t>
  </si>
  <si>
    <t>El nacionalismu románticu El nacionalismu románticu (tamién llamáu nacionalismu orgánicu y nacionalismu identitariu) ye la forma de nacionalismu étnicu pola que l'estáu deriva la so llexitimidá política como consecuencia natural (orgánica) y espresión de la nación o la raza.</t>
  </si>
  <si>
    <t>ciencia</t>
  </si>
  <si>
    <t>La clasificación biolóxica pertenez a la ciencia de la bioloxía sistemática.</t>
  </si>
  <si>
    <t>Tractor de construcción: Xeneralmente con accesorios tales como palas o brazos de retroexcavadoras.</t>
  </si>
  <si>
    <t>a) Deflación de la deuda Irving Fisher defende que'l factor principal que llevó a la Gran Depresión foi un círculu viciosu de deflación y sobreendeudamientu creciente, y alcontró nueve factores que, interactuando en condiciones de deuda escesiva y deflación, crearon los mecanismos propicios pa la quiebra económica.</t>
  </si>
  <si>
    <t>Gran Depresión</t>
  </si>
  <si>
    <t>Impuestu de proteición a la comunidá islámica: pagáu por tolos cristianos pa garantizar la so seguranza nel estáu.</t>
  </si>
  <si>
    <t>Imperiu Otomanu</t>
  </si>
  <si>
    <t>Poro, decidieron cudiar les tierres na so mayoría verdes y azules.</t>
  </si>
  <si>
    <t>Alderaan</t>
  </si>
  <si>
    <t>Una división que señala les diferencies culturales, llingüístiques y étniques ente los dos llaos de la llende, diferencies, sicasí, que van apaeciendo como un continuum según viaxamos hacia l'este n'Eurasia y qu'en dengún casu reflexen realidaes completamente estremaes.</t>
  </si>
  <si>
    <t>Europa</t>
  </si>
  <si>
    <t>doctor</t>
  </si>
  <si>
    <t>Doctor Mateo España, 2009.</t>
  </si>
  <si>
    <t>Médicu</t>
  </si>
  <si>
    <t>phanerolepis Abies bifolia Abies lasiocarpa — Abetu alpín Abies lasiocarpa var.</t>
  </si>
  <si>
    <t>bufanda</t>
  </si>
  <si>
    <t>Sobre'l sakkos lleva'l omoforio, bufanda de llana de gran tamañu que se doblar alredor de la cabeza y cai per delantre y por detrás.</t>
  </si>
  <si>
    <t>Obispu</t>
  </si>
  <si>
    <t>A lo último, cuando se lleva a cabu un cambéu químicu, una sustancia tresformar n'otra totalmente distinta, por casu, aferruñar un alambre metálicu, o cuando reacciona un ácidu con un álcali.</t>
  </si>
  <si>
    <t>Sustancia químico</t>
  </si>
  <si>
    <t>Son cada vez más comunes los softwares que formatean la seición de especímenes esaminaos a partir de la planilla de datos, y tamién puede formatearse en forma de data paper un set d'escurrimientos pa publicación formal.</t>
  </si>
  <si>
    <t>new</t>
  </si>
  <si>
    <t>Taxonomía</t>
  </si>
  <si>
    <t>trolles</t>
  </si>
  <si>
    <t>Historia Rafal mientres la Romanización Les tierres de la Vega Baxa yeren trolles y banzaos cuando fai 100.000 años nel Paleolíticu Mediu l'home Neanderthal daba los sos primeros pasos per Europa.</t>
  </si>
  <si>
    <t>Rafal</t>
  </si>
  <si>
    <t>formates</t>
  </si>
  <si>
    <t>Los dos teunoloxíes primaries que xeneren formes d'ondes sintétiques de voz son la "síntesis concatenativa" y la "síntesis de formates".</t>
  </si>
  <si>
    <t>Síntesis de fala</t>
  </si>
  <si>
    <t>Tien una pantalla de 7.9 pulgaes con una resolución de 2048 × 1536 pixeles con una densidá de 326 ppp.</t>
  </si>
  <si>
    <t>logs</t>
  </si>
  <si>
    <t>Rexistru de conversaciones y gueta en logs.</t>
  </si>
  <si>
    <t>Empathy</t>
  </si>
  <si>
    <t>hardwares</t>
  </si>
  <si>
    <t>Los fabricantes de mainframes y miniordenadores d'esi tiempu llanzaron programes de desenvolvimientu de IC propietarios p'actualizar los sos arquitectures d'ordenadores más vieyes y eventualmente producir microprocesadores con conxuntu d'instruiciones conxuntos d'instruiciones que yeren retrocompatibles coles sos hardwares y softwares más vieyos.</t>
  </si>
  <si>
    <t>Unidá central de procesamientu</t>
  </si>
  <si>
    <t>Obra Ficción Micronopia (2011) microrrelatos La fía del Caribe (2012) rellatu Soledad, una colombiana en Madrid (2012) novela Pop Porn (2013) microrrelatos Microscópicos (2014) microrrelatos, antoloxía personal Güeyos de tinta (2014) tuits ilustraos #Femituits  Non ficción Sexo sin comillas (2015)  Inclusiones n'antoloxíes de microrrelatu Elles cunten menos.</t>
  </si>
  <si>
    <t>María Paz Ruiz Gil</t>
  </si>
  <si>
    <t>Sicasí, esisten importantes anécdotes sobre xugadores que nun usaron botes.</t>
  </si>
  <si>
    <t>Este aprofió que Ban tenía «una rara combinación de claridá analítica, humildá y esfotu».</t>
  </si>
  <si>
    <t>faciendo click</t>
  </si>
  <si>
    <t>Puede consultase datos del so castiellu y de la ilesia románica qu'ellí esistieron faciendo click equí: http://www.arquivoltas.com/5-HU-Somontano/990419-Castillazuelo1.htm Archiváu 2018-03-10 en Wayback Machine 1126 - 1199, a lo menos, de realengu por presentar tenentes (UBIETO ARTETA, Los Tenentes, p.</t>
  </si>
  <si>
    <t>verb_light_construction</t>
  </si>
  <si>
    <t>Castillazuelo</t>
  </si>
  <si>
    <t>La pantalla inicial de iOS contién delles aplicaciones, dalgunes de les cuales tán ocultes por defectu y pueden ser activaes pol usuariu por aciu l'aplicación "Axustes", por casu, Nike+iPod o la app de iCloud Drive tienen de ser activaes dende los Axustes.</t>
  </si>
  <si>
    <t>Deporte Ala, denominación reglamentaria n'español d'una posición dientro d'un equipu de rugby (forwards).</t>
  </si>
  <si>
    <t>Ala</t>
  </si>
  <si>
    <t>Thlaspi arvense (carraspique, zurrón bolivianu) ye una especie botánica de planta con flor, fedienta, de Eurasia, con silicues chates; naturalizada en Norteamérica, onde ye una maleza acuática y terrestre.</t>
  </si>
  <si>
    <t>Thlaspi arvense</t>
  </si>
  <si>
    <t>Los usuarios de Windows XP y Windows Server 2003 que tienen copies orixinales de Microsoft Windows pueden descargar llibremente'l programa dende'l sitiu web de Microsoft y Windows Defender suminístrase como parte de Windows Vista y 7.Windows Defender y Microsoft Security Essentials combináronse nun solu programa, denomináu Windows Defender.</t>
  </si>
  <si>
    <t>Microsoft Windows</t>
  </si>
  <si>
    <t>Kießling y Mous suxeren qu'estes eyectivas son restos de clicks presenten nel sustratu d'estes llingües.</t>
  </si>
  <si>
    <t>Llingües cushites meridionales</t>
  </si>
  <si>
    <t>cloud</t>
  </si>
  <si>
    <t>Cloud dynamics, R.A.</t>
  </si>
  <si>
    <t>Nube</t>
  </si>
  <si>
    <t>loges</t>
  </si>
  <si>
    <t>Referencies Enllaces esternos  Wikimedia Commons acueye conteníu multimedia sobre Les Grandes-Loges.</t>
  </si>
  <si>
    <t>Les Grandes-Loges</t>
  </si>
  <si>
    <t>Forma parte del conxuntu GNOME Office, y distribúise con Ubuntu La so interface gráfica y funcionalidá aseméyase muncho a l'aplicación Microsoft Outlook.</t>
  </si>
  <si>
    <t>Evolution</t>
  </si>
  <si>
    <t>(por casu, un númberu de teléfonu puede ser escoyíu dende un corréu electrónicu y guardalo como un contautu o pa faer una llamada) El iPod Touch tien les mesmes apps que tán presentes nel iPhone, con esceición de Teléfonu, Mensaxes (anque si iMessage) y Brúxula.</t>
  </si>
  <si>
    <t>Drive-by download Google afayó qu'una de cada 10 páxina web que fueron analizaes a fondura puede contener les llamaes drive-by downloads o descargues automátiques, que son sitios qu'instalen spyware o códigos que dan información de los equipos ensin que l'usuariu decatar.</t>
  </si>
  <si>
    <t>Ente los productos de hardware más conocíos de la empresa cuenta con equipos Macintosh, l'iPod l'iPhone y l'iPad.</t>
  </si>
  <si>
    <t>Apple</t>
  </si>
  <si>
    <t>Pa esto ye necesariu instalar un complementu , un programa que queda siempres residente y dende cualquier navegador web añade'l botón de llamar a los perfiles y al chat web de Facebook; en realidá esti serviciu ye independiente de Skype (Un usuariu de Skype nun puede faer contauto vía voz o videu a usuarios de Facebook, nin estos a ellos, inclusive col complementu de navegador instaláu).</t>
  </si>
  <si>
    <t>&amp; Bobrov Festuca daghestanica (Tzvelev) Y.B.Alexeev Festuca densiuscula (Hack.</t>
  </si>
  <si>
    <t>Festuca rubra</t>
  </si>
  <si>
    <t>Google Pixel ye una llinia de dispositivos Electrónica de consumu electrónicos de consumu de Google que funcionen col sistema operativu Chrome o Android.</t>
  </si>
  <si>
    <t>Pa los partíos de dobles, los centros de los postes de la rede tán asitiaos a 0,914 metros fuera de cada llau de la llinia de dobles.</t>
  </si>
  <si>
    <t>Ta reconocíu polos yerbarios d'Australia como la fonte autorizada pa la nomenclatura botánica australiana, siendo'l componente central del Australia's Virtual Herbarium, el proyeutu de collaboración con AU$10 millones en fondos, sofitando l'accesu integráu online a los datos y a les coleiciones de especímenes del mayor yerbariu d'Australia.</t>
  </si>
  <si>
    <t>Australian Plant Name Index</t>
  </si>
  <si>
    <t>Tenía un diámetru aparente de 0,20 segundos d'arcu (4,5 pixels na cámara planetaria), la so forma ye aproximadamente esférica.</t>
  </si>
  <si>
    <t>19 Fortuna</t>
  </si>
  <si>
    <t>forward</t>
  </si>
  <si>
    <t>2005–2008: crecedera Nel branu de 2005 Forward&gt;&gt; llevó a los DJs de grime a la primera plana del line up.</t>
  </si>
  <si>
    <t>Dubstep</t>
  </si>
  <si>
    <t>posts</t>
  </si>
  <si>
    <t>Peking: Directorate General of Posts, 1919.</t>
  </si>
  <si>
    <t>Trescripción del sistema postal chinu</t>
  </si>
  <si>
    <t>Sicasí, Evan Williams llueu desmintió esta información nun tuit qu'unvió'l 1 de mayu de 2008.</t>
  </si>
  <si>
    <t>escaniáu</t>
  </si>
  <si>
    <t>El documentu orixinal ye escaniáu con una máquina de fax, que procesa los conteníos (testu o imáxenes) como una sola imaxe gráfica fixa, convirtiéndola nun mapa de bits, la información tresmítese como señales llétriques al traviés del sistema telefónicu.</t>
  </si>
  <si>
    <t>verb_participle_prescriptive</t>
  </si>
  <si>
    <t>Mediu de comunicación</t>
  </si>
  <si>
    <t>likes</t>
  </si>
  <si>
    <t>Tamién collaboró en Likes de la canal 0 de Movistar+.</t>
  </si>
  <si>
    <t>Javier Ambrossi</t>
  </si>
  <si>
    <t>formats</t>
  </si>
  <si>
    <t>Protocolos y medios extrayibles Fonte: VLC playback Features - Input formats  Formatos contenedores Fonte: VLC playback Features - Input formats  Formatos de videu Fonte: VLC playback Features - Video formats  Formatos d'audio Fonte: VLC playback Features - Audio formats  Formatos de subtítulos y etiquetes Ver tamién Rhythmbox Banshee Amarok Totem Audacious Media Player   == Referencies ==</t>
  </si>
  <si>
    <t>VLC media player</t>
  </si>
  <si>
    <t>Tagetes</t>
  </si>
  <si>
    <t>La tema "Obscured By Clouds", que da nome al álbum, foi usualmente utilizáu pa empezar conciertos.</t>
  </si>
  <si>
    <t>Obscured by Clouds</t>
  </si>
  <si>
    <t>Delles estructures creando subdominios dexen l'empléu de nomes de dominiu como "ju.guet.es", y "va.cacion.es" como posibles escructuras pa crear domain hacks.</t>
  </si>
  <si>
    <t>Domain hack</t>
  </si>
  <si>
    <t>trolls</t>
  </si>
  <si>
    <t>A Thor présta-y dir a la caza de Trolls o xigantes.</t>
  </si>
  <si>
    <t>Viquingu</t>
  </si>
  <si>
    <t>abenka</t>
  </si>
  <si>
    <t>Ikus, gainera Abenka   == Kanpo estekak ==</t>
  </si>
  <si>
    <t>Estaia</t>
  </si>
  <si>
    <t>dolar</t>
  </si>
  <si>
    <t>urtean jaulki zituzten lehenengo dolar-billeteak.</t>
  </si>
  <si>
    <t>Dolar</t>
  </si>
  <si>
    <t>rapsoda</t>
  </si>
  <si>
    <t>Hesiodo ere hemen jaio eta nekazari izan zen, eta baita rapsoda ere.</t>
  </si>
  <si>
    <t>Hesiodo</t>
  </si>
  <si>
    <t>camping</t>
  </si>
  <si>
    <t>Club Vasco de Camping Elkartea.</t>
  </si>
  <si>
    <t>Gernikako Arbolaren pasealekua (Donostia)</t>
  </si>
  <si>
    <t>aerobio</t>
  </si>
  <si>
    <t>Era berean, bakterio aerobio fototrofo bat fagozitatu eta eukarioto primitibo horrek fotosintesi egiteko gaitasuna bereganatuko luke.</t>
  </si>
  <si>
    <t>Teoria endosinbiotiko</t>
  </si>
  <si>
    <t>Gillen</t>
  </si>
  <si>
    <t>Gillen, Eskoziako gaeleraz: Gilean, Eskoziako Highland eskualdeko etxalde bat da, Skye eta Lochalsh barrutian.</t>
  </si>
  <si>
    <t>Gillen (Skye)</t>
  </si>
  <si>
    <t>Lehman, Bruce: Intellectual Property and the National Information Infrastructure (Report of the Working Group on Intellectual Property Rights, 1995) Lindsey, Marc: Copyright Law on Campus.</t>
  </si>
  <si>
    <t>Egile-eskubideak</t>
  </si>
  <si>
    <t>mekanizazio</t>
  </si>
  <si>
    <t>Mekanizazio-prozesu desberdinen azalpenak.</t>
  </si>
  <si>
    <t>Mekanizazio</t>
  </si>
  <si>
    <t>alkandora</t>
  </si>
  <si>
    <t>Alkandora zuria, jende askorentzat, aristokraziaren ikurra zen, garbi mantendu ohi zituztenak zirelako.</t>
  </si>
  <si>
    <t>Alkandora</t>
  </si>
  <si>
    <t>tibia</t>
  </si>
  <si>
    <t>Berna-hezurra edo tibia belaunaren azpian dauden bi hezurretatik handiena eta luzeena da.</t>
  </si>
  <si>
    <t>Berna-hezur</t>
  </si>
  <si>
    <t>Erdi Aroko zaldunek, abisu seinale gisa jotzen zituzten.</t>
  </si>
  <si>
    <t>Olifante</t>
  </si>
  <si>
    <t>bolante</t>
  </si>
  <si>
    <t>Bolante doigarriak "Tilt" bolantea Edward James Lobdellek garatua, 7 posizioko "Tilt Wheel" (bolante inklinatua), General Motorsen zenbait produktutan eskuragarri jarri zen 1963an.</t>
  </si>
  <si>
    <t>Bolante</t>
  </si>
  <si>
    <t>Danimarka</t>
  </si>
  <si>
    <t>Lars Løkke Rasmussen (2009-11 eta 2015-) Helle Thorning-Schmidt (2011-15)  Banaketa administratiboa Danimarka 5 eskualdeetan banatzen da.</t>
  </si>
  <si>
    <t>prezio</t>
  </si>
  <si>
    <t>Estrategia honen adibide bat, trenbide-konpainiek (maiz monopolio moduan jarduten dutenak) bidaiari arrunt, ikasle eta adineko pertsonentzat ezartzen dituzten prezio bereziak dira.</t>
  </si>
  <si>
    <t>Monopolio</t>
  </si>
  <si>
    <t>agresibo</t>
  </si>
  <si>
    <t>Onddo honek gaixotasun baskular agresibo bat eragiten du zuhaitzean, xilema hodia itxi egiten ditu eta hortaz, zurtoin eta hostoak ximelduz doaz pixkanaka.</t>
  </si>
  <si>
    <t>Zumar</t>
  </si>
  <si>
    <t>ateismo</t>
  </si>
  <si>
    <t>Gaur egungo ateismo terminoa XVI.</t>
  </si>
  <si>
    <t>Ateismo</t>
  </si>
  <si>
    <t>absurdo</t>
  </si>
  <si>
    <t>Fabula pesimista, ironiko eta absurdo horietan bere ideia kontserbadoreak erakutsi zituen.</t>
  </si>
  <si>
    <t>Pierre Gripari</t>
  </si>
  <si>
    <t>Txapelketa Erregionalean, Zaragozan 1967an; lehiaketa berean, Artzamendik lehen sarirako accesit bat lortu zuen, bere zuzendaritzagatik).</t>
  </si>
  <si>
    <t>Juan Artzamendi</t>
  </si>
  <si>
    <t>zerbeza</t>
  </si>
  <si>
    <t>Elizarentzat dirua lortzeko antolatutako zerbeza feria zen.</t>
  </si>
  <si>
    <t>Robin Hood</t>
  </si>
  <si>
    <t>absolutista</t>
  </si>
  <si>
    <t>Mikel I.a Portugalgoa Absolutista edo Tradizionalista (portugesez: Dom Miguel I o Absolutista; Lisboa, 1802ko urriaren 26a - Esselbach, 1866ko azaroaren 14a) Portugalgo erregea 1828-1834 bitartean izan zen.</t>
  </si>
  <si>
    <t>Mikel I.a Portugalgoa</t>
  </si>
  <si>
    <t>erregela</t>
  </si>
  <si>
    <t>Trapezioaren erregela konposatua Hau, erregela konposatuaren eredu bat da.</t>
  </si>
  <si>
    <t>Isaac Newton</t>
  </si>
  <si>
    <t>gris</t>
  </si>
  <si>
    <t>Haragia berez gris edo beltz bihurtzeko joera duen taldeko Russula da.</t>
  </si>
  <si>
    <t>Gibelaranja hankagorri</t>
  </si>
  <si>
    <t>biologia</t>
  </si>
  <si>
    <t>Adibidez, biologia molekularra bizitzako oinarrizko biomolekulen azterketa da; biologia zelularraren helburua, berriz, zelula aztertzea da, bizitza osoko oinarrizko unitate eratzailea dena.</t>
  </si>
  <si>
    <t>Biologia</t>
  </si>
  <si>
    <t>boto</t>
  </si>
  <si>
    <t>Emaitza hauekin EAJko Maria Consuelo Romeo Aia alkate bihurtu zen, nahiz eta boto gehien jaso zuen alderdia inpugnatuta zegoen EAE-ANV alderdia izan, 731 botorekin.</t>
  </si>
  <si>
    <t>Ibarra</t>
  </si>
  <si>
    <t>logika</t>
  </si>
  <si>
    <t>Logikaren historia une historiko desberdinetan agertzen diren lau pentsamendu-lerrok bat egitearen ondorioa da:​ Logika aristotelikoa eta, ondoren, megarikoen eta estoikoen ekarpenak.</t>
  </si>
  <si>
    <t>Logika</t>
  </si>
  <si>
    <t>monitore</t>
  </si>
  <si>
    <t>Txirrindularitza profesionaletik erretiratu ondoren eski monitore bihurtu zen.</t>
  </si>
  <si>
    <t>Ferdinand Kübler</t>
  </si>
  <si>
    <t>ebanjelio</t>
  </si>
  <si>
    <t>Ebanjelio honen idazlea ez zen judua izan, baina hala ere Itun Zaharra ondo ezagutzen zuen.</t>
  </si>
  <si>
    <t>Lukasen ebanjelioa</t>
  </si>
  <si>
    <t>produktibo</t>
  </si>
  <si>
    <t>Gainera, hautespen naturalaren eta gizakiaren eskuaren ondorioz, arraza hori zehazten duten ezaugarri morfologiko eta produktibo batzuk, oinordetzan.</t>
  </si>
  <si>
    <t>Arraza (biologia)</t>
  </si>
  <si>
    <t>demokratizazio</t>
  </si>
  <si>
    <t>Herrialdearen egoera sozial eta ekonomiko latzak bultzatuta, eta baita ere nazioarte maila erregimen komunistek izan zuten erorketa eraginda, Mozambike baketze eta demokratizazio prozesu batean sartu zen.</t>
  </si>
  <si>
    <t>Mozambikeko Herri Errepublika</t>
  </si>
  <si>
    <t>ablatibo</t>
  </si>
  <si>
    <t>Ablatibo absolutuaren 14.</t>
  </si>
  <si>
    <t>Lupe Gómez</t>
  </si>
  <si>
    <t>Aureli Argemí i Roca (Sabadell, 1936ko otsailaren 1a – ibidem, 2024ko apirilaren 1a) CIEMEN gobernuz kanpoko erakundearen sortzaile 1974an eta lehendakari emeritua izan zen, baita 1996an Hizkuntza Eskubideen Deklarazio Unibertsalaren sustatzaile eta idazleetako bat ere.</t>
  </si>
  <si>
    <t>Aureli Argemi</t>
  </si>
  <si>
    <t>kode</t>
  </si>
  <si>
    <t>Zenbait hizkuntzek bi kode dituzte, bata bibliografikoa (ISO 639-2/B), hizkuntzaren ingelesezko izenetik eratorria eta bestea terminologikoa (ISO 639-2/T), hizkuntzaren jatorrizko izenetik, autoglotonimotik eratorria.</t>
  </si>
  <si>
    <t>ISO 639-2</t>
  </si>
  <si>
    <t>Meteorologian (eta orokorrean) udaberriak ipar hemisferioan martxo, apiril eta maiatz osoak barne hartzen ditu, eta hego hemisferioan, berriz, irail, urri eta azaroa.</t>
  </si>
  <si>
    <t>Udaberri</t>
  </si>
  <si>
    <t>polarizazio</t>
  </si>
  <si>
    <t>Polarizazio bektorea (P) momentu dipolarra bolumen unitateko bezala definitzen da.</t>
  </si>
  <si>
    <t>Polarizazio elektriko</t>
  </si>
  <si>
    <t>operatibo</t>
  </si>
  <si>
    <t>Egoitza operatibo eta exekutiboa Plan-les-Ouatesen du, Genevatik gertu, eta zirkuitu integratuak (erdieroaleak) garatu, fabrikatu eta merkaturatzen ditu.</t>
  </si>
  <si>
    <t>STMicroelectronics</t>
  </si>
  <si>
    <t>zeremonia</t>
  </si>
  <si>
    <t>Azken kasu horretan, zeremonia-maisu ere deitzen zaio.</t>
  </si>
  <si>
    <t>Aurkezle</t>
  </si>
  <si>
    <t>fase</t>
  </si>
  <si>
    <t>Fase bat sistema kimiko baten egoera-multzo bat da, egitura-propietate antzekoak dituena zenbait baldintzatan, hala nola presioan edo tenperaturan.</t>
  </si>
  <si>
    <t>Kimika</t>
  </si>
  <si>
    <t>kolera</t>
  </si>
  <si>
    <t>Kolera ur eta janari kutsatuen bidez transmititzen da.</t>
  </si>
  <si>
    <t>Vibrio cholerae</t>
  </si>
  <si>
    <t>potentzia</t>
  </si>
  <si>
    <t>Energia-moten aldaketak eta potentzia Energia kontzeptua lotuta dago era desberdinetako fenomeno fisikoei, eta aldaketak gertatzean, energiaren izaera bera ere aldatu egiten da.</t>
  </si>
  <si>
    <t>Potentzia</t>
  </si>
  <si>
    <t>komunismo</t>
  </si>
  <si>
    <t>Hala ere, ezin izan zuten komunismo anarkistaren tesietan oinarrituta zegoen euren kooperatiben plana ezarri, militarren aurka galdu zutelako.</t>
  </si>
  <si>
    <t>Komunismo libertario</t>
  </si>
  <si>
    <t>abolizionista</t>
  </si>
  <si>
    <t>Abolizionista, ateoa, feminista, sufragista Laster hasi zen Ernestine gehien interesatzen zitzaizki0n gaiei buruzko hitzaldiak egiten, "Filòsters Moraleseko" elkartearekin bat egin zuen eta estatu desberdinetara bidaiatu zuen bere arrazoiak defendatzeko: esklabotza indargabetzea, erlijio-tolerantzia, hezkuntza publikoa eta emakumeen berdintasuna.</t>
  </si>
  <si>
    <t>Ernestine Rose</t>
  </si>
  <si>
    <t>politiko</t>
  </si>
  <si>
    <t>Hala eta guztiz ere, Lehen Internazionalari esker, bereziki Europako langileek kontzeptu politiko berdinak erabiltzen hasi ziren, eta horrekin batera, hainbat herrialdetan langileen alderdi eta sindikatu nazionalak sortu ziren.</t>
  </si>
  <si>
    <t>Sozialismo</t>
  </si>
  <si>
    <t>pelikula</t>
  </si>
  <si>
    <t>"The Silence of the Lambs" filmak eskuratu zituen 5 Oscar Sari, tartean pelikula onenarena.</t>
  </si>
  <si>
    <t>1990eko hamarkada</t>
  </si>
  <si>
    <t>helikoptero</t>
  </si>
  <si>
    <t>Txornobaivkako hurrengo gertaera martxoaren 7an gertatu zen, Ukrainako Armadak aireportuan zeuden Errusiaren 30 helikoptero militar suntsitzea aldarrikatu zuenean, bai eta Errusiaren ekipamendu eta eskulana erasotzea ere.</t>
  </si>
  <si>
    <t>Txornobaivkako erasoak</t>
  </si>
  <si>
    <t>abisal</t>
  </si>
  <si>
    <t>Abisal edo zona abisopelagikoa izena hartzen duena, ozeanoa banatua dagoen mailetako bat da, bere sakoneraren arabera.</t>
  </si>
  <si>
    <t>Abisal</t>
  </si>
  <si>
    <t>aristokrazia</t>
  </si>
  <si>
    <t>Aristotelen iritziz, aristokrazia ez zen monarkia (bakar baten gobernua) eta demokrazia (herriaren gobernua) bezalakoa.</t>
  </si>
  <si>
    <t>Aristokrazia</t>
  </si>
  <si>
    <t>abant</t>
  </si>
  <si>
    <t>Zelai horretan bertan, beste partida gogoangarri bat jokatu zen 1985eko azaroaren 2an, Los Pumas-ek All Blacksen aurka berdintzea lortu baitzuten (21-21); beti ere, irabazteko aukera bikaina galdu zuten, azken jokaldian Ernesto Urek abant egin baitzuen, argentinar melea Zeelanda Berriko entsegu-eremuan sartzen ari zelarik.</t>
  </si>
  <si>
    <t>Argentinako errugbi selekzioa</t>
  </si>
  <si>
    <t>Ikus, gainera Militarismo</t>
  </si>
  <si>
    <t>Militar (argipena)</t>
  </si>
  <si>
    <t>dekoratibo</t>
  </si>
  <si>
    <t>Otsailaren 15a – Owen Jones, britainiar arkitekto, artista dekoratibo, idazle eta hezitzailea, kromolitografian aitzindaria (h.</t>
  </si>
  <si>
    <t>Azpiegitura Nord Stream 2 gasbideak, Nord Stream 1ek bezala, Errusia eta Alemania lotzen zituen, baina ez zuen funtzionatzen Errusiaren eta Europar Batasunaren arteko liskarrengatik, Ukrainako inbasioari buruzko tentsioen testuinguruan.</t>
  </si>
  <si>
    <t>Nord Stream gasbideko sabotajea (2022)</t>
  </si>
  <si>
    <t>linkak</t>
  </si>
  <si>
    <t>Kanpo linkak "Young Muslims Build a Subculture on an Underground Book", New York Times, 2008 Abendua "Islamic Street Preachers: From Boston to Lahore &amp; Beyond", Guardian, 2007 Apirila Kim Badawiren argazkiak Taqwacoreari buruz, Pangea Magazine The Taqwacores (liburua) Autonomedia-ko webgunea "Muhammad Rocked the Casbah by Lydia Craft", "Texas Observer"   == Kanpo estekak ==</t>
  </si>
  <si>
    <t>noun_integrated_pl</t>
  </si>
  <si>
    <t>Taqwacore</t>
  </si>
  <si>
    <t>Ikus, gainera Ordenagailu Firmware Informatika Software  Kanpo estekak Kernelaren Mundu Liluragarria (Ingelesez)Hardwareari buruzko ehundaka artikulu (Gaztelaniaz)Ordenagailu baten Hardwareari buruzko artikulua (Gaztelaniaz)Hardware Grafikoa</t>
  </si>
  <si>
    <t>Hardware</t>
  </si>
  <si>
    <t>txekak</t>
  </si>
  <si>
    <t>Adibidez, Petrogradoko Txekak 512 pertsona exekutatu zituen egun gutxitan.</t>
  </si>
  <si>
    <t>Vladimir Lenin</t>
  </si>
  <si>
    <t>klikak</t>
  </si>
  <si>
    <t>Tolerantzia espaziala: Sagua zenbat mugi daitekeen klikak arrastatze bihurtu gabe.</t>
  </si>
  <si>
    <t>Klik</t>
  </si>
  <si>
    <t>trollak</t>
  </si>
  <si>
    <t>Maitagarri-ipuina Europako folklorean zenbait pertsonaia jakin dituzten ipuinak dira, batez ere maitagarriak, iratxoak, elfoak, sorginak, adarbakarrak, erraldoiak, laminak, uhandreak, trollak, gnomoak, animalia hiztunak, sorginkeria eta abar.</t>
  </si>
  <si>
    <t>Maitagarri-ipuin</t>
  </si>
  <si>
    <t>LMP Link Management Protocol Esteken kontrolaren protokoloa bi gailuen arteko irratiaren lotura konfiguratzeko eta kontrolatzeko erabiltzen da.</t>
  </si>
  <si>
    <t>Bluetooth</t>
  </si>
  <si>
    <t>txata</t>
  </si>
  <si>
    <t>Badu ere txata alboko leiho batean zuzeneko komunikazioa izateko.</t>
  </si>
  <si>
    <t>Etherpad</t>
  </si>
  <si>
    <t>posta</t>
  </si>
  <si>
    <t>Minitelek ekarri zuen posta elektronikoarekin eta horrelakoetan idazteko estiloa ahozkotik hurbilagokoa dela ohiko gutunetatik baino hizkuntzen irakaskuntzan integratzeko aukerak ere zabaldu zituen.</t>
  </si>
  <si>
    <t>Internet</t>
  </si>
  <si>
    <t>klik egin</t>
  </si>
  <si>
    <t>Bilatu nahi dena aukeratutakoan, haren estekan klik egin behar da, ikusteko.</t>
  </si>
  <si>
    <t>YouTube</t>
  </si>
  <si>
    <t>Zerbitzari handietan eta superkonpugailuetan 2000ko hamarkadan lerro berezitu bat garatzen hasi zen, Windows Server izenarekin, baina ez da nagusitzera heldu, Unix moduko sistemak eta Linux segmentu horretako liderrak dira-eta.</t>
  </si>
  <si>
    <t>txeka</t>
  </si>
  <si>
    <t>Txeka ezinbestekoa izan zen, britainiar zerbitzu sekretuen konspirazio militarrak antzeman baitzituen.</t>
  </si>
  <si>
    <t>Feliks Dzerzhinski</t>
  </si>
  <si>
    <t>bota</t>
  </si>
  <si>
    <t>Sistema horrekin botatako poltsak ezin dira bota eta gero berreskuratu.</t>
  </si>
  <si>
    <t>Birziklatze</t>
  </si>
  <si>
    <t>servera</t>
  </si>
  <si>
    <t>(1966) Elena Gómez Servera, kirol gimnasiako munduko txapelduna (1985) Francisco Javier Muñoz Llompart "Xisco", futbolaria (1980) Albert Riera, futbolaria (1982)  Ikus, gainera Balear Uharteetako udalerrien zerrenda  Kanpo estekak (Katalanez) Udalaren webgunea.</t>
  </si>
  <si>
    <t>Manacor</t>
  </si>
  <si>
    <t>Ertain neurriko softwarea garatzeko, ohikoa da tartean lanean ari diren giza taldeek metodologia propioak aplikatzea, normalean aurreko prozesuen hibridoa eta batzuetan irizpide propioekin.</t>
  </si>
  <si>
    <t>Izan ere, Steve Jobsek gutun ireki bat idatzi zuen Flash kritikatuz, segurtasun arazoak zituela, akats ugari sortzen zituela, bateria asko kontsumitzen zuela, ukipen anitzeko interfazeekin bateragarria ez zela eta App Store zerbitzuaren funtzionamenduan interferentziak eragiten zituela argudiatuz.</t>
  </si>
  <si>
    <t>Nolanahi ere, Hollywoodeko film ezagunetan agertu da: Seven, Pay It Forward, The Usual Suspects, L.A.</t>
  </si>
  <si>
    <t>Kevin Spacey</t>
  </si>
  <si>
    <t>botak</t>
  </si>
  <si>
    <t>Botak Material plastiko berezi eta berritzaileenekin eginak, beste diziplina batzuetan baino gogorragoak izaten dira, eskiatzailearen eta eskiaren artean ahalik eta transferentziarik onena lortzea eta abiadura oso handiak jasatea baitute helburu.</t>
  </si>
  <si>
    <t>Alpetar eski</t>
  </si>
  <si>
    <t>pixelak</t>
  </si>
  <si>
    <t>Bestalde, aplikazio grafiko askok paralelotasun maila handia dute berez, haien kalkulu-unitate nagusiak (erpinak eta pixelak) guztiz independenteak baitira.</t>
  </si>
  <si>
    <t>scroll</t>
  </si>
  <si>
    <t>Korritze-barra informatikan erabiltzen diren zenbait kontrol grafiko sistemei esaten zaie, scroll edo korritze ariketa egiteko balio dutenak.</t>
  </si>
  <si>
    <t>Korritze-barra</t>
  </si>
  <si>
    <t>Almendrales, Espainiako Madril hiriburuko auzo bat da, Usera barrutian.</t>
  </si>
  <si>
    <t>Almendrales</t>
  </si>
  <si>
    <t>hakak</t>
  </si>
  <si>
    <t>2005ekoa, FC Hakak irabazitako azkeneko txapelketa izan da .</t>
  </si>
  <si>
    <t>FC Haka Valkeakoski</t>
  </si>
  <si>
    <t>Joera hori antzekoa da herrialde gehienetan, ohiko kamuflaje basoa edo pixela erabiliz, nahiz eta kamuflajearen kolorea eta beste elementu batzuk aldatzen doazen herrialde batek bere soldaduak erabiliko lituzkeen geografiaren arabera, hau da, herrialde batek defentsa nazionaleko politika disuasiboa edo ofentsiboa duen (herrialdea bere arerioa erasotzen duena izango den edo soilik defendatuko den).</t>
  </si>
  <si>
    <t>Uniforme militar</t>
  </si>
  <si>
    <t>taga</t>
  </si>
  <si>
    <t>Taga, graffitilarien ezizena erabiltzen duen sinadura da.</t>
  </si>
  <si>
    <t>Tag</t>
  </si>
  <si>
    <t>appa</t>
  </si>
  <si>
    <t>2022an Appa Hi!, hika ikasteko Oñatin sortu zuen aplikaziorako marrazkiak egin zituen.</t>
  </si>
  <si>
    <t>Mirari Sagarzazu</t>
  </si>
  <si>
    <t>Software librearen lau askatasunak, software librearen erabiltzaileen lau eskubideak Softwarea librea dela esan ohi da hurrengo lau eskubide hauek betetzen dituenean:  helburua edozein dela ere exekutatu ahal izatea (pribatua, hezkuntza, publikoa, komertziala, eta abar).</t>
  </si>
  <si>
    <t>Software libre</t>
  </si>
  <si>
    <t>Reset (R): linea hau aktibatzeak biegonkorraren irteera zuzena (Q) maila baxuan jartzen du; hau da, 0 balioa ematen dio.</t>
  </si>
  <si>
    <t>Biegonkor</t>
  </si>
  <si>
    <t>buga</t>
  </si>
  <si>
    <t>Gaur egun Sunu Buga Buga Growing in Gambia erakundearekin kolaboratzen jarraitzen du.</t>
  </si>
  <si>
    <t>Yerai Diaz Ikaran</t>
  </si>
  <si>
    <t>trolla</t>
  </si>
  <si>
    <t>Kanpo estekak Trollmoon - Eskandinaviar Trolla Arte eta Folklorean (Ingelesez) Trollei buruzko artikulu eta kontakizunak dituen Norvegiako webgunea (Ingelesez)</t>
  </si>
  <si>
    <t>Troll</t>
  </si>
  <si>
    <t>appak</t>
  </si>
  <si>
    <t>APPak erabilgarria izateari uzten dionean, eta degradatu eta birziklatu behar denean, alfa sekretasa eta gamma sekretasa entzimek mozten dute.</t>
  </si>
  <si>
    <t>LRP3</t>
  </si>
  <si>
    <t>tuita</t>
  </si>
  <si>
    <t>Tuita fosfato motako minerala da eta whitlockita taldearen kidea da.</t>
  </si>
  <si>
    <t>Tuita</t>
  </si>
  <si>
    <t>2019ko abenduan "Spoiler Re-play" kaleratu zuen, bere lehen diskoaren edizio berezi bat.</t>
  </si>
  <si>
    <t>Aitana Ocaña</t>
  </si>
  <si>
    <t>linka</t>
  </si>
  <si>
    <t>Love &amp; Death estatubatuar telesail dramatikoa da, Lesli Linka Glatterrek eta Clark Johnsonek HBO Maxerako sortua.</t>
  </si>
  <si>
    <t>Love &amp; Death</t>
  </si>
  <si>
    <t>Txat hitzak (Ingeleseko to chat aditzetik eratorria) "berbatan/hizketan ari" esan nahi du.</t>
  </si>
  <si>
    <t>Txat</t>
  </si>
  <si>
    <t>API (inglelesez application programming interface - aplikazioak programatzeko interfazea) software funtzioak edo metodoak (objektuei orientatutako programazioari baderitzogu) multzoa da, beste software mailei liburutegi bezala erabiltzeko.</t>
  </si>
  <si>
    <t>API</t>
  </si>
  <si>
    <t>Lan egiteko dituen erak download &amp; delete (jaitsi eta ezabatu) eta download &amp; keep (jaitsi eta mantendu) dira.</t>
  </si>
  <si>
    <t>POP</t>
  </si>
  <si>
    <t>Ezpainetako herpesa honela iragar daiteke kaltetutako eremuan:  Inurridura Azkura Erretzen Klikatzen Tentsio-sentsazioa Hoztea Larruazala gorritzea Gongoil linfatikoen hantura Hasierako infekzioan, sintoma ez-espezifikoak ere ager daitezke, hala nola sukarra, nekea, nerbio-minak edo zefaleak.</t>
  </si>
  <si>
    <t>Ezpain herpes</t>
  </si>
  <si>
    <t>bug</t>
  </si>
  <si>
    <t>Hegoaldeko Bug ibaiaren batez besteko emariak (m³/s) Aleksandrovkan (Ukraina) neurtuakDatuak: 1965 eta 1984 artean  Erreferentziak   == Kanpo estekak ==</t>
  </si>
  <si>
    <t>Hegoaldeko Bug</t>
  </si>
  <si>
    <t>like</t>
  </si>
  <si>
    <t>Marilyn Monroek, Some Like It Hot filmean Wilder eta Lemonekin lan egin ostean, The Apartment-en ere agertu nahi izan zuen, baina azkenean ez zuen beretzako paperik eskuratu ahal izan.</t>
  </si>
  <si>
    <t>The Apartment</t>
  </si>
  <si>
    <t>Indie rocka nahiz indie popa Eskoziako Orange Juice eta Aztec Camera bezalako post punk taldeetatik garatu zen, shambling gitarrak eta letra zorrotzak erabiliz.</t>
  </si>
  <si>
    <t>Rock alternatibo</t>
  </si>
  <si>
    <t>haka</t>
  </si>
  <si>
    <t>Haka zeremonia- edo erronka-dantza maoria da.</t>
  </si>
  <si>
    <t>Haka</t>
  </si>
  <si>
    <t>Inteleraz sweetie (gozoa) eta tweet (txio) hitzen nahasketa bat da.</t>
  </si>
  <si>
    <t>Tweety</t>
  </si>
  <si>
    <t>2017ko irailaren 20an, Better Together Update eguneratzeari esker, Bedrock Edizioa Xbox One, Windows 10 eta plataforma mugikorrak erabiliz modu gurutzatuan jokatzeko aukera eskaini zen.</t>
  </si>
  <si>
    <t>Minecraft</t>
  </si>
  <si>
    <t>Margherita Hack racconta Tolomeo e Copernico.</t>
  </si>
  <si>
    <t>Margherita Hack</t>
  </si>
  <si>
    <t>formata</t>
  </si>
  <si>
    <t>Bracciolini letra kaligrafiko lettera antica formata edo humanistikoa-ren sortzaile nagusitzat hartzen da, notario gisa eta Aita Santuaren idazkaritzaren bidez hedatu zuena eta XV.</t>
  </si>
  <si>
    <t>Gian Francesco Poggio Bracciolini</t>
  </si>
  <si>
    <t>NetBEUI (NetBIOS Extended User Interface) Microsoft Windows-eko Lan Manager eta Windows 95 sistema eragiletan sareak osatzeko sare geruzako protokolo soila da.</t>
  </si>
  <si>
    <t>NetBEUI</t>
  </si>
  <si>
    <t>formatatu</t>
  </si>
  <si>
    <t>Anje Duhalde, El fuego taldeko bateria-jolea: “Ez naiz produktu formatatu bat” Elkarrizketa Argia astekarian (2007-04-22)</t>
  </si>
  <si>
    <t>verb_morph_integrated</t>
  </si>
  <si>
    <t>Anje Duhalde</t>
  </si>
  <si>
    <t>1080 zenbakiak bereizmen bertikalean dauden 1080 lerroak adierazten ditu, aldiz, p hizkiak progressive scan ("eskaneatze progresiboa") ingelesezko izendapenaren laburdura da.</t>
  </si>
  <si>
    <t>1080p</t>
  </si>
  <si>
    <t>bot</t>
  </si>
  <si>
    <t>Bot Kataluniako udalerria da, Terra Alta eskualdean eta Tarragonako probintzian kokatua.</t>
  </si>
  <si>
    <t>Bot (Katalunia)</t>
  </si>
  <si>
    <t>hardwareak</t>
  </si>
  <si>
    <t>Bi kasuetan, hardwareak beste operatze sistema batzuen funtzionamendua ahalbidetzen du: egungo Macak, PCak bezala, Linux, FreeBSD eta Windows bezalako operatze sistemak onartzen ditu (azkena, Applen Boot Camp softwarea edo Parallels Desktop edo VMWare Fusion bezalako beste birtualizazio software batzuei esker).</t>
  </si>
  <si>
    <t>Macintosh</t>
  </si>
  <si>
    <t>Η λιδοκαΐνη είναι αντιαρρυθμικό φάρμακο του τύπου κατηγορίας Ib.</t>
  </si>
  <si>
    <t>Λιδοκαΐνη</t>
  </si>
  <si>
    <t>παντζούρι</t>
  </si>
  <si>
    <t>Προσφέρουν μεγάλη ασφάλεια και καλή μόνωση, ενώ μπορούν να δεχτούν τζάμι, παντζούρι ή ρολό.</t>
  </si>
  <si>
    <t>Κούφωμα</t>
  </si>
  <si>
    <t>βιτρίνα</t>
  </si>
  <si>
    <t>Ο Αλήτης συμβαίνει να βρίσκεται δίπλα στο μαγαζί, όταν το κορίτσι τακτοποιεί λουλούδια στη βιτρίνα.</t>
  </si>
  <si>
    <t>Τα Φώτα της Πόλης</t>
  </si>
  <si>
    <t>ψυχολόγος</t>
  </si>
  <si>
    <t>Καθώς η επιστήμη της Ψυχολογίας δεν είναι ένα ενιαίο αντικείμενο αλλά διακρίνεται σε επιμέρους κλάδους, ένας ψυχολόγος ο οποίος έχει ολοκληρώσει μεταπτυχιακή εκπαίδευση συνήθως χαρακτηρίζεται βάσει της ειδικότητας στην οποία εκπαιδεύτηκε όπως για παράδειγμα κλινικός ψυχολόγος, σχολικός ψυχολόγος, συμβουλευτικός ψυχολόγος (βλ.</t>
  </si>
  <si>
    <t>Ψυχολόγος</t>
  </si>
  <si>
    <t>Ωστόσο η Κάλλας απέρριψε την πρόταση, θεωρώντας τον σωματότυπο που είχε ασύμβατο με την εικόνα της Μπατερφλάι και αρνούμενη να ερμηνεύσει όπερα στα αγγλικά όπως ζήτησε περαιτέρω ο Τζόνσον.</t>
  </si>
  <si>
    <t>Τάιλερ</t>
  </si>
  <si>
    <t>Ο Τάιλερ ανέλαβε τα καθήκοντα ως Πρόεδρος στις 6 Απριλίου 1841.</t>
  </si>
  <si>
    <t>Τζον Τάιλερ</t>
  </si>
  <si>
    <t>Οσμάν</t>
  </si>
  <si>
    <t>Πριν από αυτό η φυλή/δυναστεία ήταν γνωστή ως Σογούτ, αλλά μετονομάστηκε σε Οσμανλί (Οσμανίδες ή Οσμανλίδες στην Ελληνική γλώσσα) προς τιμή του Οσμάν Α΄.</t>
  </si>
  <si>
    <t>Οθωμανική Δυναστεία</t>
  </si>
  <si>
    <t>Η φώκια ουέντελ, «αληθινή φώκια», που ονομάστηκε προς τιμήν του Σερ Τζέιμς Ουέντελ, διοικητή βρετανικών αποστολών κυνηγιού φώκιας στη Θάλασσα Ουέντελ.</t>
  </si>
  <si>
    <t>Ανταρκτική</t>
  </si>
  <si>
    <t>ρεπορτάζ</t>
  </si>
  <si>
    <t>Σύμφωνα με το κληροδότημα προβλέπονται οκτώ βραβεία που απονέμονται σε κατηγορίες που σχετίζονται με τη δημοσιογραφία, (καλύτερου ρεπορτάζ, άρθρου, γελοιογραφίας κ.ά.) καθώς και τέσσερα για τις τέχνες και τα γράμματα.</t>
  </si>
  <si>
    <t>Βραβείο Πούλιτζερ</t>
  </si>
  <si>
    <t>τζουτζές</t>
  </si>
  <si>
    <t>2010 - στο συνοδευτικό CD της τελευταίας ποιητικής συλλογής του Αργύρη Χιόνη Ό,τι Περιγράφω με Περιγράφει, μελοποιεί το ποίημα «Τζουτζές» με ερμηνευτή τον Χρήστο Θηβαίο.</t>
  </si>
  <si>
    <t>Νίκος Ζούδιαρης</t>
  </si>
  <si>
    <t>παμπ</t>
  </si>
  <si>
    <t>Albans) κατέχει το παγκόσμιο ρεκόρ Γκίνες, ως η αρχαιότερη παμπ στην Αγγλία, χρονολογούμενη από τον 11ο αιώνα.</t>
  </si>
  <si>
    <t>Παμπ</t>
  </si>
  <si>
    <t>ουλάνος</t>
  </si>
  <si>
    <t>Οι στίχοι υπάρχουν σε διάφορες εκδοχές για μια Ουκρανή κοπέλα στην οποία ο αρραβωνιαστικός της, ένας Κοζάκος ή ένας Ουλάνος, την αποχαιρετά για τελευταία φορά.</t>
  </si>
  <si>
    <t>Hej Sokoły</t>
  </si>
  <si>
    <t>δρύπη</t>
  </si>
  <si>
    <t>Δρύπη ονομάζεται κάθε σαρκώδης καρπός, ο οποίος έχει υμενώδες εξωκάρπιο, σαρκώδες μεσοκάρπιο και ξυλώδες ενδοκάρπιο (το οποίο περιέχει συνήθως ένα σπέρμα).</t>
  </si>
  <si>
    <t>Δρύπη</t>
  </si>
  <si>
    <t>καυστικός</t>
  </si>
  <si>
    <t>Η χλωρή ξυλεία ασακού περιέχει κάποια ποσότητα από τον γαλακτώδη οπό (χυμό) του δέντρου, που είναι τοξικός και καυστικός, με τον οποίο οι Καραΐβοι δηλητηριάζουν τα κυνηγετικά βέλη τους (λέγεται ότι και οι Ινδιάνοι της Ν.</t>
  </si>
  <si>
    <t>Ασακού</t>
  </si>
  <si>
    <t>ρακούν</t>
  </si>
  <si>
    <t>Τα κοάτι έχουν πατούσες σαν της αρκούδας- και του ρακούν, και τα κοάτι, τα ρακούν, και οι αρκούδες είναι πελματοβάμονα (περπατούν στα πέλματα των ποδιών, όπως οι άνθρωποι).</t>
  </si>
  <si>
    <t>Κοάτι</t>
  </si>
  <si>
    <t>μπαράζ</t>
  </si>
  <si>
    <t>Την περίοδο 1956-57 τερμάτισε στην πρώτη θέση του ομίλου της και έδωσε αγώνες μπαράζ με τον πρωταθλητή του άλλου ομίλου, Απόλλων Λεμεσού.</t>
  </si>
  <si>
    <t>Αλκή Λάρνακας</t>
  </si>
  <si>
    <t>μοβ</t>
  </si>
  <si>
    <t>Στην Ευρώπη η καλλιέργεια του ξεκίνησε το 13ο αιώνα και ήταν χρώματος μοβ, εξαιτίας κάποιων χρωστικών που περιείχε.</t>
  </si>
  <si>
    <t>Καρότο</t>
  </si>
  <si>
    <t>πορτμπαγκάζ</t>
  </si>
  <si>
    <t>Εκεί τον έβαλαν στο πορτμπαγκάζ ενός κόκκινου Renault και, αφού τον σκέπασαν με ένα κόκκινο σεντόνι, ο Μορέτι πυροβόλησε τον Μόρο με ένα Βάλτερ 9 χιλ.</t>
  </si>
  <si>
    <t>Απαγωγή και δολοφονία του Άλντο Μόρο</t>
  </si>
  <si>
    <t>σεζόν</t>
  </si>
  <si>
    <t>Στην Ιταλία, Σεραφίν και Μενεγκίνι Το 1946, η Κάλλας αναμενόταν να εκκινήσει τη σεζόν της Όπερας του Σικάγου πρωταγωνιστώντας στην όπερα Τουραντότ του Πουτσίνι, εντούτοις η συμφωνία ακυρώθηκε εξαιτίας ενός οικονομικού προβλήματος.</t>
  </si>
  <si>
    <t>φιλοτελιστής</t>
  </si>
  <si>
    <t>Γεώργιος Παπαστεφάνου (φιλοτελιστής) (1890-1978), Έλληνας φιλοτελιστής και δωρητής.</t>
  </si>
  <si>
    <t>Παπαστεφάνου (αποσαφήνιση)</t>
  </si>
  <si>
    <t>γκρελίνη</t>
  </si>
  <si>
    <t>Από τότε που ανακαλύφθηκε έχουν μελετηθεί η λεπτίνη, η γκρελίνη, η ινσουλίνη, η ορεξίνη, η εντερική ορμόνη PYY 3-36, η χοληκυστοκινίνη, η αδιπονεκτίνη, καθώς και πολλοί άλλοι μεσολαβητές.</t>
  </si>
  <si>
    <t>Παχυσαρκία</t>
  </si>
  <si>
    <t>μετεωρολογικός</t>
  </si>
  <si>
    <t>Μετεωρολογικός σταθμός Από το 2016 το Χαροκόπειο Πανεπιστήμιο διατηρεί σταθμό του Παγκόσμιου Μετεωρολογικού Οργανισμού σε συνεργασία με το Εθνικό Αστεροσκοπείο Αθηνών.</t>
  </si>
  <si>
    <t>Χαροκόπειο Πανεπιστήμιο</t>
  </si>
  <si>
    <t>Τον Σεπτέμβριο του 2022 κυκλοφόρησε σε περιορισμένο αριθμό αντιτύπων το CD Γενέθλια Ζέμπρα (Ποίηση-απαγγελία: Χρήστος Μαρκίδης / Μουσική-επεξεργασία ήχου: Γιάννης Μουρτζόπουλος).</t>
  </si>
  <si>
    <t>Χρήστος Μαρκίδης</t>
  </si>
  <si>
    <t>βιζόν</t>
  </si>
  <si>
    <t>Το ευρωπαϊκό βιζόν συναντάται κυρίως στη Ρουμανία, στη Φινλανδία και τη Ρωσία, όπου ζει κοντά σε έλη, λίμνες και ποτάμια, σε δάση με πλούσια βλάστηση.</t>
  </si>
  <si>
    <t>Βιζόν</t>
  </si>
  <si>
    <t>Μάρτιν</t>
  </si>
  <si>
    <t>Ο Μάρτιν βρίσκει ένα είδος ποίησης στον συνηθισμένο άνθρωπο.</t>
  </si>
  <si>
    <t>Sherlock (τηλεοπτική σειρά)</t>
  </si>
  <si>
    <t>αουτσάιντερ</t>
  </si>
  <si>
    <t>Νωρίτερα ο ΠΑΟΚ είχε αποκλείσει διαδοχικά τους Ολυμπιακό, ΑΕΚ και Άρη πριν αποκλειστεί από τον συμπολίτη του Ηρακλή, ενώ και με τον αποκλεισμό του Παναθηναϊκού στον Β' γύρο από τον ΠΑΣ Γιάννινα, στην ουσία άνοιξε ο δρόμος προς τις 2 ομάδες - "αουτσάιντερ" να φτάσουν ως τον τελικό του κυπέλλου.</t>
  </si>
  <si>
    <t>Κύπελλο Ελλάδος ποδοσφαίρου ανδρών 1979-80</t>
  </si>
  <si>
    <t>ιμπεριαλισμός</t>
  </si>
  <si>
    <t>Ο ιμπεριαλισμός (γνωστός και ως επεκτατισμός) αποτελεί πολιτική επέκτασης του ελέγχου ή της εξουσίας που ασκείται σε ξένες οντότητες ως μέσο απόκτησης και/ή διατήρησης μιας αυτοκρατορίας.</t>
  </si>
  <si>
    <t>Ιμπεριαλισμός</t>
  </si>
  <si>
    <t>σαντιγύ</t>
  </si>
  <si>
    <t>Παραδοσιακά, ένα mille-feuille αποτελείται από τρία στρώματα σφολιάτας (pâte feuilletée), που εναλλάσσονται με δύο στρώσεις κρέμας ζαχαροπλαστικής (crème pâtissière) ή σαντιγύ.</t>
  </si>
  <si>
    <t>Μιλφέιγ</t>
  </si>
  <si>
    <t>καμπάνια</t>
  </si>
  <si>
    <t>Το 2009, ξεκίνησε την καριέρα της ως μοντέλο συμμετέχοντας στη Φθινοπωρινή/Χειμωνιάτικη καμπάνια του οίκου μόδας Burberry.</t>
  </si>
  <si>
    <t>μάσκα</t>
  </si>
  <si>
    <t>Στις 3 Ιουνίου 2002, ένα 17χρονο αγόρι παρέσυρε τη φίλη του, την 15χρονη Άλις Μποπέρ, μακριά από το σπίτι των γονιών της στο Σεντ-Σεμπαστιέν-σιρ-Λουάρ της Γαλλίας και τη μαχαίρωσε 42 φορές ενώ φορούσε τη μάσκα του Ghostface.</t>
  </si>
  <si>
    <t>Scream (ταινία, 1996)</t>
  </si>
  <si>
    <t>Ο εκφορτισμένος ηλεκτρικός συσσωρευτής φορτίζεται όταν περάσει από αυτόν συνεχές ρεύμα από άλλη πηγή, ενώ ταυτόχρονα στον ηλεκτρικό συσσωρευτή γίνονται αντίστροφες χημικές διεργασίες, με τις οποίες η ηλεκτρική ενέργεια μετατρέπεται σε χημική.</t>
  </si>
  <si>
    <t>Από την άποψη της Διαχείρισης και της Ηγεσίας, καλύπτει επίσης τομείς που περιλαμβάνουν διαχείριση κτιρίων γραφείων, Λογιστική, Χρηματοοικονομικά, Σχεδιασμός, Διοίκηση και Διαχείριση Έργου, Τεχνολογία πληροφοριών, Έρευνα και Ανάπτυξη, Μάρκετινγκ κ.ά.</t>
  </si>
  <si>
    <t>Διοίκηση Επιχειρήσεων</t>
  </si>
  <si>
    <t>Αλαμπάμα</t>
  </si>
  <si>
    <t>μέχρι το 1600 μ.Χ., με ένα από τα μεγάλα κέντρα του στον Αρχαιολογικό Χώρο της Μάουντβιλ στη Μάουντβιλ, Αλαμπάμα.</t>
  </si>
  <si>
    <t>κέικς</t>
  </si>
  <si>
    <t>Η επιχείρηση Vegetarian ήταν πλήρως έτοιμη για ανάπτυξη την άνοιξη του 1944 και καταστρώθηκαν σχέδια για τη ριψη των "κέικς" το καλοκαίρι, όταν τα βοοειδή στη Γερμανία θα βοσκούσαν ελεύθερα στους αγρούς.</t>
  </si>
  <si>
    <t>Επιχείρηση Vegeterian</t>
  </si>
  <si>
    <t>εστραγκόν</t>
  </si>
  <si>
    <t>Το εστραγκόν είναι η κύρια αρωματική συστατική ουσία της σάλτσας Μπερνέζ (Béarnaise sauce).</t>
  </si>
  <si>
    <t>Αρτεμισία η δρακόντειος</t>
  </si>
  <si>
    <t>ορτανσία</t>
  </si>
  <si>
    <t>Η ορτανσία είναι δικοτυλήδονο φυτό, που ανήκει στην οικογένεια υδραγγειοειδή (Hydrangeaceae).</t>
  </si>
  <si>
    <t>Ορτανσία</t>
  </si>
  <si>
    <t>μεγαλομανία</t>
  </si>
  <si>
    <t>Σύμφωνα με τον Γιουνγκ, περιγράφει έναν τύπο νεύρωσης κατά τον οποίο το άτομο χαρακτηρίζεται από εγωιστική μεγαλομανία.</t>
  </si>
  <si>
    <t>Σύμπλεγμα του Ιεχωβά</t>
  </si>
  <si>
    <t>Σιέρα Λεόνε</t>
  </si>
  <si>
    <t>Λόγω της συνεισφοράς των μπανγκλαντεσιανών κυανόκρανων του ΟΗΕ στην αποστολή του ΟΗΕ στη Σιέρα Λεόνε κατά τη διάρκεια του εμφυλίου πολέμου στη χώρα, ο Αχμάντ Τετζάν Καμπά όρισε τη βεγγαλική γλώσσα ως επίτιμη επίσημη γλώσσα της χώρας τον Δεκέμβριο του 2002.</t>
  </si>
  <si>
    <t>μακιγιάζ</t>
  </si>
  <si>
    <t>Σύμφωνα με τους κανονισμούς, μακιγιάζ είναι η οποιαδήποτε αλλαγή στην εμφάνιση του ηθοποιού είτε με καλλυντικά είτε με προσθετικά υλικά όπως περούκες.</t>
  </si>
  <si>
    <t>Όσκαρ Καλύτερου Μακιγιάζ και Κομμώσεων</t>
  </si>
  <si>
    <t>αθεϊστής</t>
  </si>
  <si>
    <t>Ο Τζωρτζ Σμιθ, ένας εξέχων αθεϊστής συγγραφέας, ισχυρίζεται ότι ολόκληρος ο αγνωστικισμός είναι μια μορφή αθεϊσμού (που ορίζεται εδώ ως έλλειψη πίστης σε μια θεότητα) (βλ.: Αθεϊσμός, η Υπόθεση Κατά του Θεού (Atheism, The Case Against God), του Τζωρτζ Χ.</t>
  </si>
  <si>
    <t>Αγνωστικισμός</t>
  </si>
  <si>
    <t>αλά</t>
  </si>
  <si>
    <t>Για πρώτη φορά σοκολάτα σε στερεά μορφή παρασκεύασε το παραδοσιακό μαγαζί του Λονδίνου "Ο Μύλος του Καφέ", που το 1674 παρουσίασε σοκολατένια ραβδάκια "αλά ισπανικά" και ένα γλύκισμα σοκολάτας σε συμπαγή μορφή.</t>
  </si>
  <si>
    <t>Σοκολάτα</t>
  </si>
  <si>
    <t>παρμπρίζ</t>
  </si>
  <si>
    <t>Το παρμπρίζ (γαλλικά: pare-brise‎‎) ή ανεμοθώρακας ενός αεροπλάνου, αυτοκινήτου, λεωφορείου, φορτηγού ή τρένου είναι το εμπρόσθιο κρύσταλλο.</t>
  </si>
  <si>
    <t>Παρμπρίζ</t>
  </si>
  <si>
    <t>ροζ</t>
  </si>
  <si>
    <t>Ροζ(έ) πιπέρι και άλλα φυτά που χρησιμοποιούνται ως πιπέρι Το ροζ(έ) πιπέρι σε σχέση με το Πέπερι το μέλαν (Piper nigrum), διακρίνεται από τους πιο κοινούς αποξηραμένους «κόκκους ροζ(έ) πιπεριού», που στην πραγματικότητα είναι οι καρποί του φυτού από μια διαφορετική οικογένεια, του Περουβιανού πιπερόδεντρου, Σχίνος ο μαλακός ή Σχίνος ο μόλλειος (Schinus molle) ή του συγγενικού του, Βραζιλιάνικου πιπερόδεντρου, Σχίνος ο τερεβινθόφυλλος (Schinus terebinthifolius).</t>
  </si>
  <si>
    <t>Πέπερι το μέλαν</t>
  </si>
  <si>
    <t>τακτ</t>
  </si>
  <si>
    <t>Ονομασία Η ονομασία Τακτελκαλέ (ή Τακτ-ελ-καλέ) προέρχεται από την τούρκικη γλώσσα.</t>
  </si>
  <si>
    <t>Τακτελκαλέ (συνοικία Λευκωσίας)</t>
  </si>
  <si>
    <t>ψυχίατρος</t>
  </si>
  <si>
    <t>Ένας ψυχίατρος ειδικεύεται στη διάγνωση, στη θεραπεία και στην πρόληψη των ψυχικών διαταραχών.</t>
  </si>
  <si>
    <t>Ψυχίατρος</t>
  </si>
  <si>
    <t>πρίζα</t>
  </si>
  <si>
    <t>230V, 400V) Έτσι, στο ηλεκτρικό κύκλωμα της συσκευής η πρίζα έχει το ρόλο της πηγής.</t>
  </si>
  <si>
    <t>Πρίζα</t>
  </si>
  <si>
    <t>απλολογία</t>
  </si>
  <si>
    <t>Απλολογία είναι η αποκοπή ολόκληρης συλλαβής όταν δύο γειτονικές συλλαβές είναι ίδιες ή πολύ όμοιες: τραγι(κο)κωμωδία, αστρ(απ)οπελέκι, (δι)δάσκαλος.</t>
  </si>
  <si>
    <t>Φθογγικές μεταβολές</t>
  </si>
  <si>
    <t>Καμερούν</t>
  </si>
  <si>
    <t>Ο Πρόεδρος του Καμερούν έχει ευρείες εξουσίες που του επιτρέπουν να διαμορφώνει πολιτική, να διοικεί τις κυβερνητικές υπηρεσίες και τις ένοπλες δυνάμεις, να διαπραγματεύεται και να επικυρώνει συνθήκες καθώς και να κηρύσσει κατάσταση έκτακτης ανάγκης.</t>
  </si>
  <si>
    <t>Ντέλαγουερ</t>
  </si>
  <si>
    <t>Προηγουμένως, υπηρέτησε ως γερουσιαστής των Ηνωμένων Πολιτειών για την πολιτεία του Ντέλαγουερ, από τις 3 Ιανουαρίου 1973 και μέχρι την παραίτησή του στις 15 Ιανουαρίου 2009, λόγω της τότε επικείμενης εκλογής του στην Αντιπροεδρία.</t>
  </si>
  <si>
    <t>Τζο Μπάιντεν</t>
  </si>
  <si>
    <t>βενζίνη</t>
  </si>
  <si>
    <t>Χρήσεις Χρησιμοποιείται ως καύσιμο υλικό (βενζίνη αυτοκινήτων, αεροσκαφών κλπ.) στη βιομηχανία για την κατεργασία των υφαντικών ινών, για τις απολιπάνσεις, για την παρασκευή κόλλας με βάση το καουτσούκ κ.ά.</t>
  </si>
  <si>
    <t>Βενζίνη</t>
  </si>
  <si>
    <t>Τον Ιανουάριο του 2013, το App Store περιείχε περισσότερο από 775.000 εφαρμογές iOS, 300.000 από τις οποίες ήταν συμβατές για iPad.</t>
  </si>
  <si>
    <t>Αφού πέρασε το τεστ νηφαλιότητας, έκανε check in στο μοτέλ La Mesa στη Σάντα Ρόζα του Νέου Μεξικού.</t>
  </si>
  <si>
    <t>Τζιμ Σάλιβαν (μουσικός)</t>
  </si>
  <si>
    <t>Ο αλγόριθμος SCAN ονομάζεται επίσης και αλγόριθμος ανελκυστήρα γιατί η κίνηση του βραχίονα μοιάζει με αυτή  ενός ανελκυστήρα εξυπηρετώντας πρώτα όλες τις αιτήσεις προς μια κατεύθυνση και έπειτα τις αιτήσεις της άλλης κατεύθυνσης.</t>
  </si>
  <si>
    <t>Η Ελληνική μετάφραση του small forward είναι μικρός προωθημένος.</t>
  </si>
  <si>
    <t>Σμολ φόργουορντ</t>
  </si>
  <si>
    <t>spam</t>
  </si>
  <si>
    <t>Το Usenet έχει σημαντική πολιτιστική σημασία στον δικτυωμένο κόσμο, καθώς έχει δημιουργήσει ή και διαδώσει πολλές ευρέως αναγνωρισμένες έννοιες και όρους όπως οι "FAQ", "flame" και "spam".</t>
  </si>
  <si>
    <t>Usenet</t>
  </si>
  <si>
    <t>κάνει log</t>
  </si>
  <si>
    <t>Κάθε φορά που ο χρήστης προσπαθεί να κάνει log-in στον λογαριασμό του, όταν του ζητηθεί το security key αυτός πιέζει το κουμπί πάνω στη συσκευή και γράφει στη σελίδα τον εξαψήφιο κωδικό που του εμφανίστηκε στην οθόνη της συσκευής.</t>
  </si>
  <si>
    <t>PayPal</t>
  </si>
  <si>
    <t>Όμως στις 11 Ιουλίου 2005 η Apple ανακοίνωσε ότι "τα χαρακτηριστικά που θα προστεθούν στο Cocoa μετά το Mac OS X v10.4 δεν θα προστεθούν στο Cocoa-Java API"  Υλικό (Hardware) Στις αρχές του Mac OS X, υποστηρίζονταν όλες οι αρχιτεκτονικές των τότε Macintosh υπολογιστών (φορητών, επιτραπέζιων και διακομιστών) που βασίζονταν σε επεξεργαστές PowerPC G3, G4 και G5.</t>
  </si>
  <si>
    <t>MacOS</t>
  </si>
  <si>
    <t>στριμ</t>
  </si>
  <si>
    <t>Ο νομικός σύμβουλος του Νορντ Στριμ ήταν η αμερικανική εταιρεία White Case και νομικός σύμβουλος για τους δανειστές ήταν η εταιρεία Clifford Chance.</t>
  </si>
  <si>
    <t>Νορντ Στριμ</t>
  </si>
  <si>
    <t>χακαρισμένος</t>
  </si>
  <si>
    <t>Αργότερα, δήλωσε ότι ο λογαριασμός του ήταν χακαρισμένος και αρνήθηκε την ανακοίνωση.</t>
  </si>
  <si>
    <t>verb_participle</t>
  </si>
  <si>
    <t>Westlife</t>
  </si>
  <si>
    <t>Στην Ελλάδα το Google Pixel και το Google Pixel XL μπορούν να αγοραστούν μέσω του καταστήματος Πλαίσιο και άλλων.</t>
  </si>
  <si>
    <t>Έγκυρη online ενημέρωση σχετικά με την επιδημία του HIV/AIDS από το 2002.</t>
  </si>
  <si>
    <t>AIDS</t>
  </si>
  <si>
    <t>κλικ</t>
  </si>
  <si>
    <t>Για να σύρετε, αντί να εκτελέσετε την τεχνική "κλικ και μισό", ο χρήστης πιέζει προς τα κάτω ενώ βρίσκεται στο αντικείμενο, σέρνει χωρίς να απελευθερώσει πίεση και αφήνει να πάει όταν τελειώσει.</t>
  </si>
  <si>
    <t>Touchpad</t>
  </si>
  <si>
    <t>Η εντυπωσιακή για μικρομεσαίο μοντέλο της κατηγορίας C αεροδυναμική, επετεύχθη και λόγω της μεγάλης προσοχής που δόθηκε σε κάποιες λεπτομέρειες, όπως στη δυναμική ροή του αέρα γύρω από τους τροχούς, στη μπροστινή γρίλια, στην πίσω πόρτα, στα πλευρικά σπόιλερ και στη διαμόρφωση του κάτω μέρους του πατώματος.</t>
  </si>
  <si>
    <t>Mercedes-Benz W176</t>
  </si>
  <si>
    <t>μποτ</t>
  </si>
  <si>
    <t>Στο νησί υπάρχουν τέσσερα χωριά: το Μεγαλοχώρι ή Μύλος (χώρα του νησιού), η Σκάλα (το φυσικό λιμάνι όπου προσεγγίζουν τα φέρι μποτ από Πειραιά/Αίγινα), τα Λιμενάρια και το Μετόχι.</t>
  </si>
  <si>
    <t>Αγκίστρι (νησί)</t>
  </si>
  <si>
    <t>φόργουορντ</t>
  </si>
  <si>
    <t>Πάουερ φόργουορντ (αγγλικά: power forward‎‎) ονομάζεται ο αθλητής που αγωνίζεται σε μια από τις 5 παραδοσιακές θέσεις στην ομάδα μπάσκετ.</t>
  </si>
  <si>
    <t>Πάουερ φόργουορντ (καλαθοσφαίριση)</t>
  </si>
  <si>
    <t>Ομοίως και ο Ντόκινς έχει δηλώσει πως «ο Iσλαμισμός είναι η μεγαλύτερη δύναμη του κακού σήμερα», ενώ σε τουίτ του δήλωσε πως ο δημοσιογράφος Mehdi Hassan δεν μπορεί να είναι δημοσιογράφος επειδή είναι Mουσουλμάνος.</t>
  </si>
  <si>
    <t>Νέος αθεϊσμός</t>
  </si>
  <si>
    <t>λινκ</t>
  </si>
  <si>
    <t>Δισκογραφία Singles Παραπομπές   == Επιπλέον λινκ ==</t>
  </si>
  <si>
    <t>Ράσμουσεν (τραγουδιστής)</t>
  </si>
  <si>
    <t>Ως εκ τούτου, το κανάλι δεν μεταδίδεται απευθείας στο Ηνωμένο Βασίλειο, αν και επιλεγμένα προγράμματα και δελτία έχουν μεταφερθεί στο ομότιτλο εγχώριο κανάλι (ειδικά στη νυχτερινή ζώνη) και αντίστροφα (συμπεριλαμβανομένων των εκπομπών Click και HARDtalk, της έκτακτης επικαιρότητας αλλά και διάφορων ειδικών εκδηλώσεων που διεξάγονται στη χώρα).</t>
  </si>
  <si>
    <t>BBC News (διεθνές τηλεοπτικό κανάλι)</t>
  </si>
  <si>
    <t>Free Software Project Management HOWTO Software Release Decisions A Methodology to Support Software Release Decisions Software Testing Life Cycle Αρχειοθετήθηκε 2011-05-24 στο Wayback Machine.</t>
  </si>
  <si>
    <t>Κύκλος ζωής έκδοσης λογισμικού</t>
  </si>
  <si>
    <t>Μεταξύ του 1670 και της επανάστασης του 1848 υπήρξαν μόνο δύο μπαν Κροατικής εθνικότητας.</t>
  </si>
  <si>
    <t>Επίσης αρκετά αργότερα δημιουργήθηκε και ο chat.mad.gr που ανήκει στο τηλεοπτικό μουσικό κανάλι MAD.</t>
  </si>
  <si>
    <t>Internet Relay Chat</t>
  </si>
  <si>
    <t>κάνει post</t>
  </si>
  <si>
    <t>Μετεκπαιδεύτηκε στο Πανεπιστήμιο του Delf της Ολλανδίας καθώς και στο Michigan State University των ΗΠΑ από το οποίο εκλήθη ως υπότροφος ερευνητής (Research Scholar), όπου του εζητήθη να παραμείνει για να κάνει post doc  και του προσφέρθηκε η θέση του αναπληρωτή καθηγητή.</t>
  </si>
  <si>
    <t>Κωνσταντίνος Τζανακούλης</t>
  </si>
  <si>
    <t>πίξελ</t>
  </si>
  <si>
    <t>Στην περίπτωση, όμως, που προβάλλεται μία εικόνα διαστάσεων 800x600 πίξελ σε οθόνη ανάλυσης 1280x1024 πίξελ, δεν υπάρχει ακριβής αντιστοιχία εικονοστοιχείου προς εικονοστοιχείο.</t>
  </si>
  <si>
    <t>Εικονοστοιχείο</t>
  </si>
  <si>
    <t>ποστ</t>
  </si>
  <si>
    <t>Άλλοι καλλιτέχνες συνέχισαν να ξεχωρίζουν από τη μάζα των λιγότερο γνωστών καλλιτεχνών: Οι τελευταίες και πολύ απλές νεκρές φύσεις του Άντριεν Κοόρτε (Adriaen Coorte) στα 1950 και των τοπιογράφων Γιάκομπους Μανκάνταν (Jacobus Mancadan) και Φρανς Ποστ νωρίτερα.</t>
  </si>
  <si>
    <t>Ζωγραφική της ολλανδικής Χρυσής Εποχής</t>
  </si>
  <si>
    <t>DualDisc ISO9660 - Universal Disk Format Τα περισσότερα DVD είναι γραμμένα με το πρότυπο ISO9660.</t>
  </si>
  <si>
    <t>DVD</t>
  </si>
  <si>
    <t>κάνει tag</t>
  </si>
  <si>
    <t>Τέτοιες απαντήσεις εμφανίζονται αν ένας χρήστης ξεκάθαρα κάνει tag το @MetaAI σε μια δημοσίευση, ή εάν μια δημοσίευση περιλαμβάνει μια ερώτηση και κανένας αλλός χρήστης δεν έχει απαντήσει σε αυτήν μέσα σε μια ώρα.</t>
  </si>
  <si>
    <t>Η Θεωρία του Νεκρού Διαδικτύου</t>
  </si>
  <si>
    <t>κάνει check</t>
  </si>
  <si>
    <t>Σημείωσε για το «ικανό χορευτικό κομμάτι», «η φωνή του Τζάκσον πετά στα ύψη σε όλη τη μελωδία, ο Έντι Βαν Χάλεν κάνει check-in με ένα solo κιθάρας, ενώ εσύ μπορείς να χτίσεις ένα συνεδριακό κέντρο στο backbeat».</t>
  </si>
  <si>
    <t>Beat It</t>
  </si>
  <si>
    <t>κάνει stream</t>
  </si>
  <si>
    <t>Είναι ικανό να κάνει stream πάνω από δίκτυα, καθώς και να επανακωδικοποιεί αρχεία πολυμέσων και να τα αποθηκεύει σε διάφορες μορφές.</t>
  </si>
  <si>
    <t>έκανε τσεκ</t>
  </si>
  <si>
    <t>Αντίθετα μια άλλη υπάλληλος της ρεσεψιόν υποστήριξε ότι είδε έναν μελαχρινό άνδρα, μεταξύ 25-40 ετών, ο οποίος στεκόταν δίπλα στην Τζένιφερ είτε όταν έκανε τσεκ ιν, είτε όταν εκείνη πήγε στο γραφείο συναλλάγματος του ξενοδοχείου για να πάρει τοπικά χαρτονομίσματα το ίδιο εκείνο βράδυ της 31ης Μάϊου.</t>
  </si>
  <si>
    <t>verb_light_greek</t>
  </si>
  <si>
    <t>Υπόθεση Τζένιφερ Φαιργκέιτ</t>
  </si>
  <si>
    <t>Αυτό έχει ως αποτέλεσμα η διάσταση Hausdorff της δομής να είναι log(3)/log(2) ≈ 1.58.</t>
  </si>
  <si>
    <t>Λογάριθμος</t>
  </si>
  <si>
    <t>κάνει tweet</t>
  </si>
  <si>
    <t>Τουρκία – Αν και η Τουρκική Ραδιοφωνία και Τηλεόραση (TRT) ανακοίνωσε ότι η Τουρκία δεν θα συμμετάσχει στον διαγωνισμό του 2014 για δεύτερη συνεχή χρονιά, αργότερα αναφέρθηκε ότι μια επιστροφή στο διαγωνισμό του 2015 θα μπορούσε να είναι δυνατή με τον επόπτη της Eurovision, Σίτσε Μπάκερ (Sietse Bakker), να κάνει tweet σχετικά με την πιθανότητα επιστροφής της χώρας.</t>
  </si>
  <si>
    <t>Διαγωνισμός Τραγουδιού Eurovision 2015</t>
  </si>
  <si>
    <t>check</t>
  </si>
  <si>
    <t>Σαχ (διεθνώς: check) λέγεται στο σκάκι η άμεση απειλή εναντίον του βασιλιά.</t>
  </si>
  <si>
    <t>Σαχ</t>
  </si>
  <si>
    <t>κλάουντ</t>
  </si>
  <si>
    <t>Κλάουντ με τη Βίκι Βέιλ και τον Ρούπερτ Θόρν με το δικό του χαρακτήρα, Κάρλ Γκρίσομ.</t>
  </si>
  <si>
    <t>Μπάτμαν (ταινία, 1989)</t>
  </si>
  <si>
    <t>Η ειδικός στα πρωτεύοντα, Τζέιν Γκούνταλ (Jane Goodall), η οποία έκανε τις έρευνές τις στο Εθνικό Πάρκο Gombe Stream, παρατήρησε κοινωνίες σχάσης-σύντηξης (fission-fusion societies).</t>
  </si>
  <si>
    <t>Πρωτεύοντα</t>
  </si>
  <si>
    <t>κάνοντας κλικ</t>
  </si>
  <si>
    <t>Καθώς το Myst αποδεικνυόταν επιτυχημένο οικονομικά, οι αδελφοί Miller άρχισαν να επεκτείνουν την ομάδα  Το παιχνίδι Το παιχνίδι παίζεται από έναν παίκτη ο οποίος μετακινείται σε ένα χώρο κάνοντας κλικ στα σημεία στα οποία θέλει να μεταβεί.</t>
  </si>
  <si>
    <t>Riven</t>
  </si>
  <si>
    <t>Σήμερα, πολλοί από τους κορυφαίους κατασκευαστές ρολογιών και χρονογράφων όπως Patek Philippe, Vacheron Constantin, Tag Heuer, IWC, Rolex, Breitling κατασκευάζουν ρολόγια από πλατίνα.</t>
  </si>
  <si>
    <t>Λευκόχρυσος</t>
  </si>
  <si>
    <t>1947 - Καταγράφεται η πρώτη περίπτωση software bug: Μία νυχτοπεταλούδα κάθεται σ' έναν ηλεκτρονόμο ενός υπολογιστή στο Πανεπιστήμιο Χάρβαρντ.</t>
  </si>
  <si>
    <t>9 Σεπτεμβρίου</t>
  </si>
  <si>
    <t>κάνει κλικ</t>
  </si>
  <si>
    <t>Σε άλλα χρειάζεται ο χρήστης να κάνει κλικ σε συγκεκριμένο χωρικό και χρονικό σημείο.</t>
  </si>
  <si>
    <t>troll</t>
  </si>
  <si>
    <t>Οι Ορκάδες έχουν πλούσιες λαογραφικές παραδόσεις με πολλές από τις παλιές ιστορίες να σχετίζονται με τα τρόου (trow), μια τοπική μορφή ξωτικών (troll) που παραπέμπει στη Σκανδιναβική παράδοση των νησιών.</t>
  </si>
  <si>
    <t>Ορκάδες</t>
  </si>
  <si>
    <t>Τα δύο τελευταία εργαλεία (Project Builder και Interface Builder) σήμερα είναι συγχωνευμένα σε μία εφαρμογή, το Xcode.</t>
  </si>
  <si>
    <t>Objective-C</t>
  </si>
  <si>
    <t>Ο Zack, όντας σε καλύτερη κατάσταση, πήρε τον Cloud και προσπάθησε να δραπετεύσει, αλλά, τελικά, σκοτώθηκε από τους στρατιώτες της Shinra.</t>
  </si>
  <si>
    <t>Final Fantasy VII</t>
  </si>
  <si>
    <t>Στα λειτουργικά συστήματα τύπου Unix η έξοδος της εντολής διαφέρει λίγο σε σχέση με τα περιεχόμενα της μεταβλητής $USER γιατί η whoami εμφανίζει το όνομα με το οποίο ο χρήστης δουλεύει ενώ η $USER εμφανίζει το όνομα με το οποίο ο χρήστης εισήλθε στο σύστημα.</t>
  </si>
  <si>
    <t>Whoami</t>
  </si>
  <si>
    <t>μπαγκ</t>
  </si>
  <si>
    <t>Το Τζαλιανβάλα Μπαγκ είναι ιστορικός κήπος και "μνημείο εθνικής σημασίας" στο Αμριτσάρ της Ινδίας.</t>
  </si>
  <si>
    <t>Τζαλιανβάλα Μπαγκ</t>
  </si>
  <si>
    <t>Ψηφιακή λήψη (αγγλικά: Digital download) στη μουσική ονομάζεται η μεταφορά μουσικών αρχείων (άλμπουμ ή τραγουδιών μεμονωμένα) μέσω ίντερνετ σε μια ψηφιακή συσκευή που μπορεί να τα αναπαράγει.</t>
  </si>
  <si>
    <t>Ψηφιακή λήψη</t>
  </si>
  <si>
    <t>τρολ</t>
  </si>
  <si>
    <t>Ιστότοπος με συμβουλές για την αποφυγή των Τρολ.</t>
  </si>
  <si>
    <t>Τρολ (Διαδίκτυο)</t>
  </si>
  <si>
    <t>έκανε tweet</t>
  </si>
  <si>
    <t>Ιστορία Στις 20 Ιουλίου 2017, η Samsung έκανε tweet ένα video teaser που δείχνει μια σκοτεινή συσκευή με γραφίδα, δηλώνοντας την ημερομηνία της επόμενης εκδήλωσης "Unpacked" στις 23 Αυγούστου 2017.</t>
  </si>
  <si>
    <t>Samsung Galaxy Note 8</t>
  </si>
  <si>
    <t>german text</t>
  </si>
  <si>
    <t>native light verb + raw noun</t>
  </si>
  <si>
    <t>Ios, Nike, iPod, iCloud Drive</t>
  </si>
  <si>
    <t>Windows, Server, Microsoft, Security Essentials, Defenders</t>
  </si>
  <si>
    <t>french text</t>
  </si>
  <si>
    <t>GNOME Office, Ubuntu, Microsoft Outlook</t>
  </si>
  <si>
    <t>iPod Touch, iPhone, iMessage</t>
  </si>
  <si>
    <t>Google, spyware</t>
  </si>
  <si>
    <t>named entities, raw</t>
  </si>
  <si>
    <t>hyperlink</t>
  </si>
  <si>
    <t>Macintosh, l'iPod, l'iPhone, l'iPad</t>
  </si>
  <si>
    <t>named entities + morphological change</t>
  </si>
  <si>
    <t>web, Facebook, Skype, navegador</t>
  </si>
  <si>
    <t>raw, named entities, calque</t>
  </si>
  <si>
    <t>Google, Chrome, Android</t>
  </si>
  <si>
    <t>Australia's Virtual Herbarium</t>
  </si>
  <si>
    <t>en llinia</t>
  </si>
  <si>
    <t>raw, calque</t>
  </si>
  <si>
    <t>grime, line up</t>
  </si>
  <si>
    <t>GUI</t>
  </si>
  <si>
    <t>fax, bits</t>
  </si>
  <si>
    <t>morphological and phonological change, raw</t>
  </si>
  <si>
    <t>MS DOS</t>
  </si>
  <si>
    <t>domain</t>
  </si>
  <si>
    <t>data paper</t>
  </si>
  <si>
    <t>Store, iPad</t>
  </si>
  <si>
    <t>τεστ, μοτέλ</t>
  </si>
  <si>
    <t>native light verb + raw noun, transliteration</t>
  </si>
  <si>
    <t>small</t>
  </si>
  <si>
    <t>Usenet, FAW, flame, spam</t>
  </si>
  <si>
    <t>native light verb + raw noun, raw</t>
  </si>
  <si>
    <t>log-in, security key</t>
  </si>
  <si>
    <t>Apple, Mac OS X, API, Macintosh, PowerPC</t>
  </si>
  <si>
    <t>White Case, Clifford Chance</t>
  </si>
  <si>
    <t>transliteration, raw</t>
  </si>
  <si>
    <t>morphological change, transliteration</t>
  </si>
  <si>
    <t>HIV, AIDS</t>
  </si>
  <si>
    <t xml:space="preserve">Πάουερ </t>
  </si>
  <si>
    <t>Singles</t>
  </si>
  <si>
    <t>Hardtalk</t>
  </si>
  <si>
    <t>** fixed this annotation from the unbalanced one</t>
  </si>
  <si>
    <t>Michigan State University, Research Scolar, κάνει post doc</t>
  </si>
  <si>
    <t xml:space="preserve">native light verb + raw noun </t>
  </si>
  <si>
    <t>raw, named entities</t>
  </si>
  <si>
    <t>backbeat</t>
  </si>
  <si>
    <t>native light verb + transliterated noun</t>
  </si>
  <si>
    <t>math</t>
  </si>
  <si>
    <t>Google</t>
  </si>
  <si>
    <t>Unix</t>
  </si>
  <si>
    <t>ίντερνετ</t>
  </si>
  <si>
    <t>metalinguistic, transliteration</t>
  </si>
  <si>
    <t>hardwareari, informatika, software</t>
  </si>
  <si>
    <t>morpholo</t>
  </si>
  <si>
    <t>elfoak, gnomoak</t>
  </si>
  <si>
    <t>Windows, Unix, Linux</t>
  </si>
  <si>
    <t>aplikatzea</t>
  </si>
  <si>
    <t>Flash, Store</t>
  </si>
  <si>
    <t>API, software</t>
  </si>
  <si>
    <t>metalinguistic, raw</t>
  </si>
  <si>
    <t>delete, keep</t>
  </si>
  <si>
    <t>punk</t>
  </si>
  <si>
    <t>Microsoft Windows, Manager</t>
  </si>
  <si>
    <t>progressive</t>
  </si>
  <si>
    <t>Macak, Pcak, softwarea</t>
  </si>
  <si>
    <t>SYNTH/NEW</t>
  </si>
  <si>
    <t>Count</t>
  </si>
  <si>
    <t>Density</t>
  </si>
  <si>
    <t>&gt; 1/3 of LWs found in sentences come with other loanwords!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</si>
</sst>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scheme val="minor"/>
    </font>
    <font>
      <sz val="11"/>
      <color theme="1"/>
      <name val="Aptos Narrow"/>
      <family val="2"/>
      <scheme val="minor"/>
    </font>
    <font>
      <i/>
      <sz val="11"/>
      <color rgb="FF7F7F7F"/>
      <name val="Aptos Narrow"/>
    </font>
    <font>
      <sz val="11"/>
      <color theme="1"/>
      <name val="Aptos Narrow"/>
    </font>
    <font>
      <sz val="11"/>
      <color theme="1"/>
      <name val="Aptos Narrow"/>
      <scheme val="minor"/>
    </font>
    <font>
      <sz val="11"/>
      <color theme="1"/>
      <name val="Arial"/>
    </font>
    <font>
      <b/>
      <sz val="11"/>
      <color theme="1"/>
      <name val="Aptos Narrow"/>
    </font>
    <font>
      <i/>
      <sz val="11"/>
      <color theme="1"/>
      <name val="Aptos Narrow"/>
    </font>
    <font>
      <sz val="11"/>
      <color rgb="FFFF0000"/>
      <name val="Aptos Narrow"/>
      <family val="2"/>
      <scheme val="minor"/>
    </font>
    <font>
      <i/>
      <sz val="11"/>
      <color rgb="FF7F7F7F"/>
      <name val="Aptos Narrow"/>
      <family val="2"/>
      <scheme val="minor"/>
    </font>
    <font>
      <b/>
      <sz val="11"/>
      <color theme="1"/>
      <name val="Aptos Narrow"/>
      <family val="2"/>
      <scheme val="minor"/>
    </font>
    <font>
      <b/>
      <sz val="11"/>
      <color theme="1"/>
      <name val="Aptos Narrow"/>
      <family val="2"/>
    </font>
    <font>
      <b/>
      <sz val="11"/>
      <color theme="9" tint="0.39997558519241921"/>
      <name val="Aptos Narrow"/>
      <family val="2"/>
      <scheme val="minor"/>
    </font>
  </fonts>
  <fills count="8">
    <fill>
      <patternFill patternType="none"/>
    </fill>
    <fill>
      <patternFill patternType="gray125"/>
    </fill>
    <fill>
      <patternFill patternType="solid">
        <fgColor rgb="FFC1E4F5"/>
        <bgColor rgb="FFC1E4F5"/>
      </patternFill>
    </fill>
    <fill>
      <patternFill patternType="solid">
        <fgColor rgb="FFFAE2D5"/>
        <bgColor rgb="FFFAE2D5"/>
      </patternFill>
    </fill>
    <fill>
      <patternFill patternType="solid">
        <fgColor rgb="FFF1CEEE"/>
        <bgColor rgb="FFF1CEEE"/>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9" fillId="0" borderId="0" applyNumberFormat="0" applyFill="0" applyBorder="0" applyAlignment="0" applyProtection="0"/>
  </cellStyleXfs>
  <cellXfs count="32">
    <xf numFmtId="0" fontId="0" fillId="0" borderId="0" xfId="0"/>
    <xf numFmtId="0" fontId="2" fillId="0" borderId="1" xfId="0" applyFont="1" applyBorder="1" applyAlignment="1">
      <alignment horizontal="center"/>
    </xf>
    <xf numFmtId="0" fontId="2" fillId="0" borderId="1" xfId="0" applyFont="1" applyBorder="1" applyAlignment="1">
      <alignment horizontal="center" wrapText="1"/>
    </xf>
    <xf numFmtId="0" fontId="3" fillId="2" borderId="1" xfId="0" applyFont="1" applyFill="1" applyBorder="1"/>
    <xf numFmtId="0" fontId="4" fillId="0" borderId="0" xfId="0" applyFont="1"/>
    <xf numFmtId="0" fontId="3" fillId="0" borderId="0" xfId="0" applyFont="1" applyAlignment="1">
      <alignment wrapText="1"/>
    </xf>
    <xf numFmtId="0" fontId="3" fillId="0" borderId="0" xfId="0" applyFont="1" applyAlignment="1">
      <alignment horizontal="center" wrapText="1"/>
    </xf>
    <xf numFmtId="0" fontId="5" fillId="0" borderId="0" xfId="0" applyFont="1" applyAlignment="1">
      <alignment wrapText="1"/>
    </xf>
    <xf numFmtId="0" fontId="3" fillId="3" borderId="1" xfId="0" applyFont="1" applyFill="1" applyBorder="1"/>
    <xf numFmtId="0" fontId="3" fillId="3" borderId="2" xfId="0" applyFont="1" applyFill="1" applyBorder="1"/>
    <xf numFmtId="0" fontId="3" fillId="4" borderId="1" xfId="0" applyFont="1" applyFill="1" applyBorder="1"/>
    <xf numFmtId="0" fontId="3" fillId="4" borderId="2" xfId="0" applyFont="1" applyFill="1" applyBorder="1"/>
    <xf numFmtId="0" fontId="6" fillId="0" borderId="0" xfId="0" applyFont="1"/>
    <xf numFmtId="0" fontId="3" fillId="0" borderId="0" xfId="0" quotePrefix="1" applyFont="1" applyAlignment="1">
      <alignment wrapText="1"/>
    </xf>
    <xf numFmtId="0" fontId="0" fillId="0" borderId="0" xfId="0" applyAlignment="1">
      <alignment wrapText="1"/>
    </xf>
    <xf numFmtId="0" fontId="9" fillId="0" borderId="3" xfId="1" applyBorder="1" applyAlignment="1">
      <alignment wrapText="1"/>
    </xf>
    <xf numFmtId="0" fontId="0" fillId="5" borderId="3" xfId="0" applyFill="1" applyBorder="1" applyAlignment="1">
      <alignment wrapText="1"/>
    </xf>
    <xf numFmtId="0" fontId="0" fillId="6" borderId="3" xfId="0" applyFill="1" applyBorder="1" applyAlignment="1">
      <alignment wrapText="1"/>
    </xf>
    <xf numFmtId="0" fontId="0" fillId="7" borderId="3" xfId="0" applyFill="1" applyBorder="1" applyAlignment="1">
      <alignment wrapText="1"/>
    </xf>
    <xf numFmtId="0" fontId="7" fillId="0" borderId="0" xfId="0" applyFont="1" applyBorder="1"/>
    <xf numFmtId="0" fontId="0" fillId="0" borderId="0" xfId="0" applyBorder="1"/>
    <xf numFmtId="0" fontId="4" fillId="0" borderId="0" xfId="0" applyFont="1" applyBorder="1"/>
    <xf numFmtId="0" fontId="8" fillId="0" borderId="0" xfId="0" applyFont="1" applyAlignment="1">
      <alignment wrapText="1"/>
    </xf>
    <xf numFmtId="0" fontId="1" fillId="0" borderId="0" xfId="0" applyFont="1" applyAlignment="1">
      <alignment wrapText="1"/>
    </xf>
    <xf numFmtId="0" fontId="11" fillId="0" borderId="0" xfId="0" applyFont="1"/>
    <xf numFmtId="0" fontId="1" fillId="0" borderId="0" xfId="0" applyFont="1"/>
    <xf numFmtId="0" fontId="10" fillId="0" borderId="0" xfId="0" applyFont="1"/>
    <xf numFmtId="0" fontId="9" fillId="0" borderId="4" xfId="1" applyFill="1" applyBorder="1" applyAlignment="1">
      <alignment wrapText="1"/>
    </xf>
    <xf numFmtId="0" fontId="7" fillId="5" borderId="0" xfId="0" applyFont="1" applyFill="1" applyBorder="1"/>
    <xf numFmtId="0" fontId="7" fillId="6" borderId="0" xfId="0" applyFont="1" applyFill="1" applyBorder="1"/>
    <xf numFmtId="0" fontId="7" fillId="7" borderId="0" xfId="0" applyFont="1" applyFill="1" applyBorder="1"/>
    <xf numFmtId="0" fontId="12" fillId="0" borderId="0" xfId="0" applyFont="1"/>
  </cellXfs>
  <cellStyles count="2">
    <cellStyle name="Explanatory Text" xfId="1" builtinId="5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323850</xdr:colOff>
      <xdr:row>2</xdr:row>
      <xdr:rowOff>349250</xdr:rowOff>
    </xdr:from>
    <xdr:to>
      <xdr:col>7</xdr:col>
      <xdr:colOff>762000</xdr:colOff>
      <xdr:row>2</xdr:row>
      <xdr:rowOff>1079500</xdr:rowOff>
    </xdr:to>
    <xdr:sp macro="" textlink="">
      <xdr:nvSpPr>
        <xdr:cNvPr id="2" name="TextBox 1">
          <a:extLst>
            <a:ext uri="{FF2B5EF4-FFF2-40B4-BE49-F238E27FC236}">
              <a16:creationId xmlns:a16="http://schemas.microsoft.com/office/drawing/2014/main" id="{8C89FF4F-48FF-B6FF-F4A9-C1401F07D067}"/>
            </a:ext>
          </a:extLst>
        </xdr:cNvPr>
        <xdr:cNvSpPr txBox="1"/>
      </xdr:nvSpPr>
      <xdr:spPr>
        <a:xfrm>
          <a:off x="7454900" y="933450"/>
          <a:ext cx="2660650" cy="730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i="1"/>
            <a:t>Update:</a:t>
          </a:r>
          <a:r>
            <a:rPr lang="en-GB" sz="1100" i="1" baseline="0"/>
            <a:t> see the 'Annotations (split)' for a more balanced dataset in terms of containing both synthetic seeds/wiktionary ones; and the calculations wrt them.</a:t>
          </a:r>
          <a:endParaRPr lang="en-GB" sz="1100" i="1"/>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pane ySplit="1" topLeftCell="A2" activePane="bottomLeft" state="frozen"/>
      <selection pane="bottomLeft" activeCell="E6" sqref="E6"/>
    </sheetView>
  </sheetViews>
  <sheetFormatPr defaultColWidth="12.6328125" defaultRowHeight="15" customHeight="1" x14ac:dyDescent="0.35"/>
  <cols>
    <col min="1" max="1" width="8.6328125" customWidth="1"/>
    <col min="2" max="2" width="10.90625" customWidth="1"/>
    <col min="3" max="3" width="57.7265625" customWidth="1"/>
    <col min="4" max="4" width="4.90625" customWidth="1"/>
    <col min="5" max="5" width="19.90625" customWidth="1"/>
    <col min="6" max="6" width="20.36328125" customWidth="1"/>
    <col min="7" max="7" width="11.453125" customWidth="1"/>
    <col min="8" max="8" width="17.36328125" customWidth="1"/>
    <col min="9" max="9" width="15.36328125" customWidth="1"/>
    <col min="10" max="10" width="16.6328125" customWidth="1"/>
    <col min="11" max="26" width="8.6328125" customWidth="1"/>
  </cols>
  <sheetData>
    <row r="1" spans="1:10" ht="14.5" x14ac:dyDescent="0.35">
      <c r="A1" s="1" t="s">
        <v>0</v>
      </c>
      <c r="B1" s="1" t="s">
        <v>1</v>
      </c>
      <c r="C1" s="2" t="s">
        <v>2</v>
      </c>
      <c r="D1" s="1" t="s">
        <v>3</v>
      </c>
      <c r="E1" s="2" t="s">
        <v>4</v>
      </c>
      <c r="F1" s="2" t="s">
        <v>5</v>
      </c>
      <c r="G1" s="2" t="s">
        <v>6</v>
      </c>
      <c r="H1" s="1" t="s">
        <v>7</v>
      </c>
      <c r="I1" s="2" t="s">
        <v>8</v>
      </c>
      <c r="J1" s="1" t="s">
        <v>9</v>
      </c>
    </row>
    <row r="2" spans="1:10" ht="31.5" customHeight="1" x14ac:dyDescent="0.35">
      <c r="A2" s="3" t="s">
        <v>10</v>
      </c>
      <c r="B2" s="4" t="s">
        <v>11</v>
      </c>
      <c r="C2" s="5" t="s">
        <v>12</v>
      </c>
      <c r="D2" s="4">
        <v>0</v>
      </c>
      <c r="E2" s="6"/>
      <c r="F2" s="5" t="s">
        <v>13</v>
      </c>
      <c r="G2" s="5"/>
      <c r="H2" s="4" t="s">
        <v>14</v>
      </c>
      <c r="I2" s="5" t="s">
        <v>15</v>
      </c>
    </row>
    <row r="3" spans="1:10" ht="116" x14ac:dyDescent="0.35">
      <c r="A3" s="3" t="s">
        <v>10</v>
      </c>
      <c r="B3" s="4" t="s">
        <v>16</v>
      </c>
      <c r="C3" s="5" t="s">
        <v>17</v>
      </c>
      <c r="D3" s="4">
        <v>1</v>
      </c>
      <c r="E3" s="5" t="s">
        <v>18</v>
      </c>
      <c r="F3" s="5" t="s">
        <v>19</v>
      </c>
      <c r="G3" s="5"/>
      <c r="H3" s="4" t="s">
        <v>20</v>
      </c>
      <c r="I3" s="5" t="s">
        <v>21</v>
      </c>
    </row>
    <row r="4" spans="1:10" ht="46.5" customHeight="1" x14ac:dyDescent="0.35">
      <c r="A4" s="3" t="s">
        <v>10</v>
      </c>
      <c r="B4" s="4" t="s">
        <v>22</v>
      </c>
      <c r="C4" s="5" t="s">
        <v>23</v>
      </c>
      <c r="D4" s="4">
        <v>1</v>
      </c>
      <c r="E4" s="5"/>
      <c r="F4" s="5"/>
      <c r="G4" s="5"/>
      <c r="H4" s="4" t="s">
        <v>24</v>
      </c>
      <c r="I4" s="5" t="s">
        <v>25</v>
      </c>
      <c r="J4" s="4" t="s">
        <v>26</v>
      </c>
    </row>
    <row r="5" spans="1:10" ht="29" x14ac:dyDescent="0.35">
      <c r="A5" s="3" t="s">
        <v>10</v>
      </c>
      <c r="B5" s="4" t="s">
        <v>27</v>
      </c>
      <c r="C5" s="7" t="s">
        <v>28</v>
      </c>
      <c r="D5" s="4">
        <v>1</v>
      </c>
      <c r="E5" s="5"/>
      <c r="F5" s="5" t="s">
        <v>29</v>
      </c>
      <c r="G5" s="5" t="s">
        <v>30</v>
      </c>
      <c r="H5" s="4" t="s">
        <v>14</v>
      </c>
      <c r="I5" s="5" t="s">
        <v>31</v>
      </c>
      <c r="J5" s="5" t="s">
        <v>32</v>
      </c>
    </row>
    <row r="6" spans="1:10" ht="43.5" x14ac:dyDescent="0.35">
      <c r="A6" s="3" t="s">
        <v>10</v>
      </c>
      <c r="B6" s="4" t="s">
        <v>33</v>
      </c>
      <c r="C6" s="5" t="s">
        <v>34</v>
      </c>
      <c r="D6" s="4">
        <v>1</v>
      </c>
      <c r="E6" s="5"/>
      <c r="F6" s="5" t="s">
        <v>35</v>
      </c>
      <c r="G6" s="5"/>
      <c r="H6" s="4" t="s">
        <v>36</v>
      </c>
      <c r="I6" s="5" t="s">
        <v>37</v>
      </c>
    </row>
    <row r="7" spans="1:10" ht="14.5" x14ac:dyDescent="0.35">
      <c r="A7" s="3" t="s">
        <v>10</v>
      </c>
      <c r="B7" s="4" t="s">
        <v>38</v>
      </c>
      <c r="C7" s="5" t="s">
        <v>39</v>
      </c>
      <c r="D7" s="21">
        <v>1</v>
      </c>
      <c r="E7" s="5"/>
      <c r="F7" s="5" t="s">
        <v>40</v>
      </c>
      <c r="G7" s="5"/>
      <c r="H7" s="4" t="s">
        <v>14</v>
      </c>
      <c r="I7" s="5" t="s">
        <v>41</v>
      </c>
      <c r="J7" s="5" t="s">
        <v>42</v>
      </c>
    </row>
    <row r="8" spans="1:10" ht="14.5" x14ac:dyDescent="0.35">
      <c r="A8" s="3" t="s">
        <v>10</v>
      </c>
      <c r="B8" s="4" t="s">
        <v>43</v>
      </c>
      <c r="C8" s="5" t="s">
        <v>44</v>
      </c>
      <c r="D8" s="4">
        <v>0</v>
      </c>
      <c r="E8" s="5"/>
      <c r="F8" s="5" t="s">
        <v>13</v>
      </c>
      <c r="G8" s="5"/>
      <c r="H8" s="4" t="s">
        <v>14</v>
      </c>
      <c r="I8" s="5" t="s">
        <v>45</v>
      </c>
      <c r="J8" s="5" t="s">
        <v>46</v>
      </c>
    </row>
    <row r="9" spans="1:10" ht="72.5" x14ac:dyDescent="0.35">
      <c r="A9" s="3" t="s">
        <v>10</v>
      </c>
      <c r="B9" s="4" t="s">
        <v>47</v>
      </c>
      <c r="C9" s="5" t="s">
        <v>48</v>
      </c>
      <c r="D9" s="4">
        <v>0</v>
      </c>
      <c r="E9" s="5"/>
      <c r="F9" s="5" t="s">
        <v>19</v>
      </c>
      <c r="G9" s="5"/>
      <c r="H9" s="4" t="s">
        <v>49</v>
      </c>
      <c r="I9" s="5" t="s">
        <v>50</v>
      </c>
    </row>
    <row r="10" spans="1:10" ht="29" x14ac:dyDescent="0.35">
      <c r="A10" s="3" t="s">
        <v>10</v>
      </c>
      <c r="B10" s="4" t="s">
        <v>51</v>
      </c>
      <c r="C10" s="5" t="s">
        <v>52</v>
      </c>
      <c r="D10" s="4">
        <v>1</v>
      </c>
      <c r="E10" s="5"/>
      <c r="F10" s="5" t="s">
        <v>40</v>
      </c>
      <c r="G10" s="5"/>
      <c r="H10" s="4" t="s">
        <v>14</v>
      </c>
      <c r="I10" s="5" t="s">
        <v>53</v>
      </c>
      <c r="J10" s="4" t="s">
        <v>54</v>
      </c>
    </row>
    <row r="11" spans="1:10" ht="72.5" x14ac:dyDescent="0.35">
      <c r="A11" s="3" t="s">
        <v>10</v>
      </c>
      <c r="B11" s="4" t="s">
        <v>55</v>
      </c>
      <c r="C11" s="5" t="s">
        <v>56</v>
      </c>
      <c r="D11" s="4">
        <v>1</v>
      </c>
      <c r="E11" s="5" t="s">
        <v>57</v>
      </c>
      <c r="F11" s="5" t="s">
        <v>19</v>
      </c>
      <c r="G11" s="5"/>
      <c r="H11" s="4" t="s">
        <v>36</v>
      </c>
      <c r="I11" s="5" t="s">
        <v>58</v>
      </c>
    </row>
    <row r="12" spans="1:10" ht="29" x14ac:dyDescent="0.35">
      <c r="A12" s="3" t="s">
        <v>10</v>
      </c>
      <c r="B12" s="4" t="s">
        <v>59</v>
      </c>
      <c r="C12" s="5" t="s">
        <v>60</v>
      </c>
      <c r="D12" s="4">
        <v>1</v>
      </c>
      <c r="E12" s="5" t="s">
        <v>61</v>
      </c>
      <c r="F12" s="5" t="s">
        <v>35</v>
      </c>
      <c r="G12" s="5"/>
      <c r="H12" s="4" t="s">
        <v>49</v>
      </c>
      <c r="I12" s="5" t="s">
        <v>62</v>
      </c>
    </row>
    <row r="13" spans="1:10" ht="43.5" x14ac:dyDescent="0.35">
      <c r="A13" s="3" t="s">
        <v>10</v>
      </c>
      <c r="B13" s="4" t="s">
        <v>63</v>
      </c>
      <c r="C13" s="5" t="s">
        <v>64</v>
      </c>
      <c r="D13" s="4">
        <v>1</v>
      </c>
      <c r="E13" s="5"/>
      <c r="F13" s="5" t="s">
        <v>40</v>
      </c>
      <c r="G13" s="5"/>
      <c r="H13" s="4" t="s">
        <v>14</v>
      </c>
      <c r="I13" s="5" t="s">
        <v>65</v>
      </c>
    </row>
    <row r="14" spans="1:10" ht="29" x14ac:dyDescent="0.35">
      <c r="A14" s="3" t="s">
        <v>10</v>
      </c>
      <c r="B14" s="4" t="s">
        <v>66</v>
      </c>
      <c r="C14" s="5" t="s">
        <v>67</v>
      </c>
      <c r="D14" s="4">
        <v>1</v>
      </c>
      <c r="E14" s="5"/>
      <c r="F14" s="5" t="s">
        <v>40</v>
      </c>
      <c r="G14" s="5"/>
      <c r="H14" s="4" t="s">
        <v>14</v>
      </c>
      <c r="I14" s="5" t="s">
        <v>68</v>
      </c>
    </row>
    <row r="15" spans="1:10" ht="14.5" x14ac:dyDescent="0.35">
      <c r="A15" s="3" t="s">
        <v>10</v>
      </c>
      <c r="B15" s="4" t="s">
        <v>69</v>
      </c>
      <c r="C15" s="5" t="s">
        <v>70</v>
      </c>
      <c r="E15" s="5"/>
      <c r="F15" s="5" t="s">
        <v>40</v>
      </c>
      <c r="G15" s="5"/>
      <c r="H15" s="4" t="s">
        <v>14</v>
      </c>
      <c r="I15" s="5" t="s">
        <v>71</v>
      </c>
    </row>
    <row r="16" spans="1:10" ht="58" x14ac:dyDescent="0.35">
      <c r="A16" s="3" t="s">
        <v>10</v>
      </c>
      <c r="B16" s="4" t="s">
        <v>72</v>
      </c>
      <c r="C16" s="5" t="s">
        <v>73</v>
      </c>
      <c r="D16" s="4">
        <v>0</v>
      </c>
      <c r="E16" s="5"/>
      <c r="F16" s="5" t="s">
        <v>19</v>
      </c>
      <c r="G16" s="5"/>
      <c r="H16" s="4" t="s">
        <v>36</v>
      </c>
      <c r="I16" s="5" t="s">
        <v>74</v>
      </c>
    </row>
    <row r="17" spans="1:10" ht="14.5" x14ac:dyDescent="0.35">
      <c r="A17" s="3" t="s">
        <v>10</v>
      </c>
      <c r="B17" s="4" t="s">
        <v>75</v>
      </c>
      <c r="C17" s="5" t="s">
        <v>76</v>
      </c>
      <c r="D17" s="4">
        <v>0</v>
      </c>
      <c r="E17" s="5"/>
      <c r="F17" s="5" t="s">
        <v>77</v>
      </c>
      <c r="G17" s="5"/>
      <c r="H17" s="4" t="s">
        <v>20</v>
      </c>
      <c r="I17" s="5" t="s">
        <v>78</v>
      </c>
    </row>
    <row r="18" spans="1:10" ht="29" x14ac:dyDescent="0.35">
      <c r="A18" s="3" t="s">
        <v>10</v>
      </c>
      <c r="B18" s="4" t="s">
        <v>79</v>
      </c>
      <c r="C18" s="5" t="s">
        <v>80</v>
      </c>
      <c r="D18" s="4">
        <v>1</v>
      </c>
      <c r="E18" s="5"/>
      <c r="F18" s="5" t="s">
        <v>40</v>
      </c>
      <c r="G18" s="5"/>
      <c r="H18" s="4" t="s">
        <v>14</v>
      </c>
      <c r="I18" s="5" t="s">
        <v>81</v>
      </c>
    </row>
    <row r="19" spans="1:10" ht="116" x14ac:dyDescent="0.35">
      <c r="A19" s="3" t="s">
        <v>10</v>
      </c>
      <c r="B19" s="4" t="s">
        <v>82</v>
      </c>
      <c r="C19" s="5" t="s">
        <v>83</v>
      </c>
      <c r="D19" s="4">
        <v>0</v>
      </c>
      <c r="E19" s="5"/>
      <c r="F19" s="5" t="s">
        <v>84</v>
      </c>
      <c r="G19" s="5"/>
      <c r="H19" s="4" t="s">
        <v>49</v>
      </c>
      <c r="I19" s="5" t="s">
        <v>85</v>
      </c>
    </row>
    <row r="20" spans="1:10" ht="29" x14ac:dyDescent="0.35">
      <c r="A20" s="3" t="s">
        <v>10</v>
      </c>
      <c r="B20" s="4" t="s">
        <v>86</v>
      </c>
      <c r="C20" s="5" t="s">
        <v>87</v>
      </c>
      <c r="D20" s="21">
        <v>1</v>
      </c>
      <c r="E20" s="5"/>
      <c r="F20" s="5" t="s">
        <v>29</v>
      </c>
      <c r="G20" s="5" t="s">
        <v>88</v>
      </c>
      <c r="H20" s="4" t="s">
        <v>14</v>
      </c>
      <c r="I20" s="5" t="s">
        <v>89</v>
      </c>
    </row>
    <row r="21" spans="1:10" ht="15.75" customHeight="1" x14ac:dyDescent="0.35">
      <c r="A21" s="3" t="s">
        <v>10</v>
      </c>
      <c r="B21" s="4" t="s">
        <v>90</v>
      </c>
      <c r="C21" s="5" t="s">
        <v>91</v>
      </c>
      <c r="D21" s="4">
        <v>1</v>
      </c>
      <c r="E21" s="5"/>
      <c r="F21" s="5" t="s">
        <v>92</v>
      </c>
      <c r="G21" s="5" t="s">
        <v>93</v>
      </c>
      <c r="H21" s="4" t="s">
        <v>94</v>
      </c>
      <c r="I21" s="5" t="s">
        <v>95</v>
      </c>
    </row>
    <row r="22" spans="1:10" ht="15.75" customHeight="1" x14ac:dyDescent="0.35">
      <c r="A22" s="3" t="s">
        <v>10</v>
      </c>
      <c r="B22" s="4" t="s">
        <v>96</v>
      </c>
      <c r="C22" s="5" t="s">
        <v>97</v>
      </c>
      <c r="D22" s="21">
        <v>1</v>
      </c>
      <c r="E22" s="5"/>
      <c r="F22" s="5" t="s">
        <v>40</v>
      </c>
      <c r="G22" s="5"/>
      <c r="H22" s="4" t="s">
        <v>14</v>
      </c>
      <c r="I22" s="5" t="s">
        <v>98</v>
      </c>
    </row>
    <row r="23" spans="1:10" ht="15.75" customHeight="1" x14ac:dyDescent="0.35">
      <c r="A23" s="3" t="s">
        <v>10</v>
      </c>
      <c r="B23" s="4" t="s">
        <v>99</v>
      </c>
      <c r="C23" s="5" t="s">
        <v>100</v>
      </c>
      <c r="D23" s="4">
        <v>1</v>
      </c>
      <c r="E23" s="5"/>
      <c r="F23" s="5" t="s">
        <v>29</v>
      </c>
      <c r="G23" s="5" t="s">
        <v>101</v>
      </c>
      <c r="H23" s="4" t="s">
        <v>14</v>
      </c>
      <c r="I23" s="5" t="s">
        <v>102</v>
      </c>
    </row>
    <row r="24" spans="1:10" ht="15.75" customHeight="1" x14ac:dyDescent="0.35">
      <c r="A24" s="3" t="s">
        <v>10</v>
      </c>
      <c r="B24" s="4" t="s">
        <v>103</v>
      </c>
      <c r="C24" s="5" t="s">
        <v>104</v>
      </c>
      <c r="D24" s="4">
        <v>0</v>
      </c>
      <c r="E24" s="5"/>
      <c r="F24" s="5"/>
      <c r="G24" s="5"/>
      <c r="H24" s="4" t="s">
        <v>14</v>
      </c>
      <c r="I24" s="5" t="s">
        <v>105</v>
      </c>
    </row>
    <row r="25" spans="1:10" ht="15.75" customHeight="1" x14ac:dyDescent="0.35">
      <c r="A25" s="3" t="s">
        <v>10</v>
      </c>
      <c r="B25" s="4" t="s">
        <v>106</v>
      </c>
      <c r="C25" s="5" t="s">
        <v>107</v>
      </c>
      <c r="D25" s="4">
        <v>1</v>
      </c>
      <c r="E25" s="5"/>
      <c r="F25" s="5" t="s">
        <v>40</v>
      </c>
      <c r="G25" s="5"/>
      <c r="H25" s="4" t="s">
        <v>14</v>
      </c>
      <c r="I25" s="5" t="s">
        <v>108</v>
      </c>
    </row>
    <row r="26" spans="1:10" ht="15.75" customHeight="1" x14ac:dyDescent="0.35">
      <c r="A26" s="3" t="s">
        <v>10</v>
      </c>
      <c r="B26" s="4" t="s">
        <v>109</v>
      </c>
      <c r="C26" s="5" t="s">
        <v>110</v>
      </c>
      <c r="D26" s="4">
        <v>1</v>
      </c>
      <c r="E26" s="5"/>
      <c r="F26" s="5" t="s">
        <v>40</v>
      </c>
      <c r="G26" s="5"/>
      <c r="H26" s="4" t="s">
        <v>14</v>
      </c>
      <c r="I26" s="5" t="s">
        <v>111</v>
      </c>
      <c r="J26" s="5" t="s">
        <v>112</v>
      </c>
    </row>
    <row r="27" spans="1:10" ht="15.75" customHeight="1" x14ac:dyDescent="0.35">
      <c r="A27" s="3" t="s">
        <v>10</v>
      </c>
      <c r="B27" s="4" t="s">
        <v>113</v>
      </c>
      <c r="C27" s="5" t="s">
        <v>114</v>
      </c>
      <c r="D27" s="4">
        <v>1</v>
      </c>
      <c r="E27" s="5"/>
      <c r="F27" s="5" t="s">
        <v>40</v>
      </c>
      <c r="G27" s="5"/>
      <c r="H27" s="4" t="s">
        <v>14</v>
      </c>
      <c r="I27" s="5" t="s">
        <v>115</v>
      </c>
    </row>
    <row r="28" spans="1:10" ht="15.75" customHeight="1" x14ac:dyDescent="0.35">
      <c r="A28" s="3" t="s">
        <v>10</v>
      </c>
      <c r="B28" s="4" t="s">
        <v>116</v>
      </c>
      <c r="C28" s="5" t="s">
        <v>117</v>
      </c>
      <c r="D28" s="4">
        <v>1</v>
      </c>
      <c r="E28" s="5"/>
      <c r="F28" s="5" t="s">
        <v>29</v>
      </c>
      <c r="G28" s="5" t="s">
        <v>118</v>
      </c>
      <c r="H28" s="4" t="s">
        <v>14</v>
      </c>
      <c r="I28" s="5" t="s">
        <v>119</v>
      </c>
    </row>
    <row r="29" spans="1:10" ht="15.75" customHeight="1" x14ac:dyDescent="0.35">
      <c r="A29" s="3" t="s">
        <v>10</v>
      </c>
      <c r="B29" s="4" t="s">
        <v>120</v>
      </c>
      <c r="C29" s="5" t="s">
        <v>121</v>
      </c>
      <c r="D29" s="4">
        <v>1</v>
      </c>
      <c r="E29" s="5" t="s">
        <v>122</v>
      </c>
      <c r="F29" s="5" t="s">
        <v>19</v>
      </c>
      <c r="G29" s="5"/>
      <c r="H29" s="4" t="s">
        <v>49</v>
      </c>
      <c r="I29" s="5" t="s">
        <v>123</v>
      </c>
    </row>
    <row r="30" spans="1:10" ht="15.75" customHeight="1" x14ac:dyDescent="0.35">
      <c r="A30" s="3" t="s">
        <v>10</v>
      </c>
      <c r="B30" s="4" t="s">
        <v>124</v>
      </c>
      <c r="C30" s="5" t="s">
        <v>125</v>
      </c>
      <c r="D30" s="4">
        <v>1</v>
      </c>
      <c r="E30" s="5"/>
      <c r="F30" s="5" t="s">
        <v>29</v>
      </c>
      <c r="G30" s="5" t="s">
        <v>126</v>
      </c>
      <c r="H30" s="4" t="s">
        <v>14</v>
      </c>
      <c r="I30" s="5" t="s">
        <v>127</v>
      </c>
    </row>
    <row r="31" spans="1:10" ht="15.75" customHeight="1" x14ac:dyDescent="0.35">
      <c r="A31" s="3" t="s">
        <v>10</v>
      </c>
      <c r="B31" s="4" t="s">
        <v>128</v>
      </c>
      <c r="C31" s="5" t="s">
        <v>129</v>
      </c>
      <c r="D31" s="4">
        <v>1</v>
      </c>
      <c r="E31" s="5"/>
      <c r="F31" s="5" t="s">
        <v>40</v>
      </c>
      <c r="G31" s="5"/>
      <c r="H31" s="4" t="s">
        <v>14</v>
      </c>
      <c r="I31" s="5" t="s">
        <v>130</v>
      </c>
    </row>
    <row r="32" spans="1:10" ht="15.75" customHeight="1" x14ac:dyDescent="0.35">
      <c r="A32" s="3" t="s">
        <v>10</v>
      </c>
      <c r="B32" s="4" t="s">
        <v>131</v>
      </c>
      <c r="C32" s="5" t="s">
        <v>132</v>
      </c>
      <c r="D32" s="4">
        <v>1</v>
      </c>
      <c r="E32" s="5"/>
      <c r="F32" s="5" t="s">
        <v>40</v>
      </c>
      <c r="G32" s="5"/>
      <c r="H32" s="4" t="s">
        <v>14</v>
      </c>
      <c r="I32" s="5" t="s">
        <v>133</v>
      </c>
    </row>
    <row r="33" spans="1:9" ht="15.75" customHeight="1" x14ac:dyDescent="0.35">
      <c r="A33" s="3" t="s">
        <v>10</v>
      </c>
      <c r="B33" s="4" t="s">
        <v>134</v>
      </c>
      <c r="C33" s="5" t="s">
        <v>135</v>
      </c>
      <c r="D33" s="4">
        <v>1</v>
      </c>
      <c r="E33" s="5" t="s">
        <v>136</v>
      </c>
      <c r="F33" s="5" t="s">
        <v>19</v>
      </c>
      <c r="G33" s="5"/>
      <c r="H33" s="4" t="s">
        <v>49</v>
      </c>
      <c r="I33" s="5" t="s">
        <v>137</v>
      </c>
    </row>
    <row r="34" spans="1:9" ht="15.75" customHeight="1" x14ac:dyDescent="0.35">
      <c r="A34" s="3" t="s">
        <v>10</v>
      </c>
      <c r="B34" s="4" t="s">
        <v>138</v>
      </c>
      <c r="C34" s="5" t="s">
        <v>139</v>
      </c>
      <c r="D34" s="4">
        <v>0</v>
      </c>
      <c r="E34" s="5"/>
      <c r="F34" s="5" t="s">
        <v>140</v>
      </c>
      <c r="G34" s="5"/>
      <c r="H34" s="4" t="s">
        <v>20</v>
      </c>
      <c r="I34" s="5" t="s">
        <v>141</v>
      </c>
    </row>
    <row r="35" spans="1:9" ht="15.75" customHeight="1" x14ac:dyDescent="0.35">
      <c r="A35" s="3" t="s">
        <v>10</v>
      </c>
      <c r="B35" s="4" t="s">
        <v>142</v>
      </c>
      <c r="C35" s="5" t="s">
        <v>143</v>
      </c>
      <c r="D35" s="4">
        <v>1</v>
      </c>
      <c r="E35" s="5" t="s">
        <v>144</v>
      </c>
      <c r="F35" s="5" t="s">
        <v>19</v>
      </c>
      <c r="G35" s="5"/>
      <c r="H35" s="4" t="s">
        <v>49</v>
      </c>
      <c r="I35" s="5" t="s">
        <v>145</v>
      </c>
    </row>
    <row r="36" spans="1:9" ht="15.75" customHeight="1" x14ac:dyDescent="0.35">
      <c r="A36" s="3" t="s">
        <v>10</v>
      </c>
      <c r="B36" s="4" t="s">
        <v>146</v>
      </c>
      <c r="C36" s="5" t="s">
        <v>147</v>
      </c>
      <c r="D36" s="21">
        <v>1</v>
      </c>
      <c r="E36" s="5"/>
      <c r="F36" s="5" t="s">
        <v>29</v>
      </c>
      <c r="G36" s="5" t="s">
        <v>148</v>
      </c>
      <c r="H36" s="4" t="s">
        <v>14</v>
      </c>
      <c r="I36" s="5" t="s">
        <v>149</v>
      </c>
    </row>
    <row r="37" spans="1:9" ht="15.75" customHeight="1" x14ac:dyDescent="0.35">
      <c r="A37" s="3" t="s">
        <v>10</v>
      </c>
      <c r="B37" s="4" t="s">
        <v>150</v>
      </c>
      <c r="C37" s="5" t="s">
        <v>151</v>
      </c>
      <c r="D37" s="4">
        <v>0</v>
      </c>
      <c r="E37" s="5"/>
      <c r="F37" s="5" t="s">
        <v>140</v>
      </c>
      <c r="G37" s="5"/>
      <c r="H37" s="4" t="s">
        <v>36</v>
      </c>
      <c r="I37" s="5" t="s">
        <v>152</v>
      </c>
    </row>
    <row r="38" spans="1:9" ht="15.75" customHeight="1" x14ac:dyDescent="0.35">
      <c r="A38" s="3" t="s">
        <v>10</v>
      </c>
      <c r="B38" s="4" t="s">
        <v>153</v>
      </c>
      <c r="C38" s="5" t="s">
        <v>154</v>
      </c>
      <c r="D38" s="4">
        <v>1</v>
      </c>
      <c r="E38" s="5"/>
      <c r="F38" s="5" t="s">
        <v>40</v>
      </c>
      <c r="G38" s="5"/>
      <c r="H38" s="4" t="s">
        <v>14</v>
      </c>
      <c r="I38" s="5" t="s">
        <v>155</v>
      </c>
    </row>
    <row r="39" spans="1:9" ht="15.75" customHeight="1" x14ac:dyDescent="0.35">
      <c r="A39" s="3" t="s">
        <v>10</v>
      </c>
      <c r="B39" s="4" t="s">
        <v>156</v>
      </c>
      <c r="C39" s="5" t="s">
        <v>157</v>
      </c>
      <c r="D39" s="21">
        <v>1</v>
      </c>
      <c r="E39" s="5"/>
      <c r="F39" s="5" t="s">
        <v>40</v>
      </c>
      <c r="G39" s="5"/>
      <c r="H39" s="4" t="s">
        <v>14</v>
      </c>
      <c r="I39" s="5" t="s">
        <v>158</v>
      </c>
    </row>
    <row r="40" spans="1:9" ht="15.75" customHeight="1" x14ac:dyDescent="0.35">
      <c r="A40" s="3" t="s">
        <v>10</v>
      </c>
      <c r="B40" s="4" t="s">
        <v>159</v>
      </c>
      <c r="C40" s="5" t="s">
        <v>160</v>
      </c>
      <c r="D40" s="4">
        <v>1</v>
      </c>
      <c r="E40" s="5" t="s">
        <v>161</v>
      </c>
      <c r="F40" s="5" t="s">
        <v>162</v>
      </c>
      <c r="G40" s="5"/>
      <c r="H40" s="4" t="s">
        <v>36</v>
      </c>
      <c r="I40" s="5" t="s">
        <v>163</v>
      </c>
    </row>
    <row r="41" spans="1:9" ht="15.75" customHeight="1" x14ac:dyDescent="0.35">
      <c r="A41" s="3" t="s">
        <v>10</v>
      </c>
      <c r="B41" s="4" t="s">
        <v>164</v>
      </c>
      <c r="C41" s="5" t="s">
        <v>165</v>
      </c>
      <c r="D41" s="4">
        <v>1</v>
      </c>
      <c r="E41" s="5"/>
      <c r="F41" s="5" t="s">
        <v>29</v>
      </c>
      <c r="G41" s="5" t="s">
        <v>166</v>
      </c>
      <c r="H41" s="4" t="s">
        <v>14</v>
      </c>
      <c r="I41" s="5" t="s">
        <v>167</v>
      </c>
    </row>
    <row r="42" spans="1:9" ht="15.75" customHeight="1" x14ac:dyDescent="0.35">
      <c r="A42" s="3" t="s">
        <v>10</v>
      </c>
      <c r="B42" s="4" t="s">
        <v>168</v>
      </c>
      <c r="C42" s="5" t="s">
        <v>169</v>
      </c>
      <c r="D42" s="4">
        <v>0</v>
      </c>
      <c r="E42" s="5"/>
      <c r="F42" s="5" t="s">
        <v>13</v>
      </c>
      <c r="G42" s="5"/>
      <c r="H42" s="4" t="s">
        <v>14</v>
      </c>
      <c r="I42" s="5" t="s">
        <v>170</v>
      </c>
    </row>
    <row r="43" spans="1:9" ht="15.75" customHeight="1" x14ac:dyDescent="0.35">
      <c r="A43" s="3" t="s">
        <v>10</v>
      </c>
      <c r="B43" s="4" t="s">
        <v>171</v>
      </c>
      <c r="C43" s="5" t="s">
        <v>172</v>
      </c>
      <c r="D43" s="4">
        <v>1</v>
      </c>
      <c r="E43" s="5"/>
      <c r="F43" s="5" t="s">
        <v>40</v>
      </c>
      <c r="G43" s="5"/>
      <c r="H43" s="4" t="s">
        <v>14</v>
      </c>
      <c r="I43" s="5" t="s">
        <v>173</v>
      </c>
    </row>
    <row r="44" spans="1:9" ht="15.75" customHeight="1" x14ac:dyDescent="0.35">
      <c r="A44" s="3" t="s">
        <v>10</v>
      </c>
      <c r="B44" s="4" t="s">
        <v>174</v>
      </c>
      <c r="C44" s="5" t="s">
        <v>175</v>
      </c>
      <c r="D44" s="21">
        <v>1</v>
      </c>
      <c r="E44" s="5"/>
      <c r="F44" s="5" t="s">
        <v>40</v>
      </c>
      <c r="G44" s="5"/>
      <c r="H44" s="4" t="s">
        <v>14</v>
      </c>
      <c r="I44" s="5" t="s">
        <v>176</v>
      </c>
    </row>
    <row r="45" spans="1:9" ht="15.75" customHeight="1" x14ac:dyDescent="0.35">
      <c r="A45" s="3" t="s">
        <v>10</v>
      </c>
      <c r="B45" s="4" t="s">
        <v>177</v>
      </c>
      <c r="C45" s="5" t="s">
        <v>178</v>
      </c>
      <c r="D45" s="4">
        <v>0</v>
      </c>
      <c r="E45" s="5"/>
      <c r="F45" s="5" t="s">
        <v>13</v>
      </c>
      <c r="G45" s="5"/>
      <c r="H45" s="4" t="s">
        <v>14</v>
      </c>
      <c r="I45" s="5" t="s">
        <v>179</v>
      </c>
    </row>
    <row r="46" spans="1:9" ht="15.75" customHeight="1" x14ac:dyDescent="0.35">
      <c r="A46" s="3" t="s">
        <v>10</v>
      </c>
      <c r="B46" s="4" t="s">
        <v>180</v>
      </c>
      <c r="C46" s="5" t="s">
        <v>181</v>
      </c>
      <c r="D46" s="4">
        <v>2</v>
      </c>
      <c r="E46" s="5" t="s">
        <v>182</v>
      </c>
      <c r="F46" s="5" t="s">
        <v>29</v>
      </c>
      <c r="G46" s="5" t="s">
        <v>183</v>
      </c>
      <c r="H46" s="4" t="s">
        <v>14</v>
      </c>
      <c r="I46" s="5" t="s">
        <v>184</v>
      </c>
    </row>
    <row r="47" spans="1:9" ht="15.75" customHeight="1" x14ac:dyDescent="0.35">
      <c r="A47" s="3" t="s">
        <v>10</v>
      </c>
      <c r="B47" s="4" t="s">
        <v>185</v>
      </c>
      <c r="C47" s="5" t="s">
        <v>186</v>
      </c>
      <c r="D47" s="4">
        <v>1</v>
      </c>
      <c r="E47" s="5"/>
      <c r="F47" s="5" t="s">
        <v>35</v>
      </c>
      <c r="G47" s="5"/>
      <c r="H47" s="4" t="s">
        <v>49</v>
      </c>
      <c r="I47" s="5" t="s">
        <v>187</v>
      </c>
    </row>
    <row r="48" spans="1:9" ht="15.75" customHeight="1" x14ac:dyDescent="0.35">
      <c r="A48" s="3" t="s">
        <v>10</v>
      </c>
      <c r="B48" s="4" t="s">
        <v>188</v>
      </c>
      <c r="C48" s="5" t="s">
        <v>189</v>
      </c>
      <c r="D48" s="4">
        <v>1</v>
      </c>
      <c r="E48" s="5"/>
      <c r="F48" s="5" t="s">
        <v>40</v>
      </c>
      <c r="G48" s="5"/>
      <c r="H48" s="4" t="s">
        <v>14</v>
      </c>
      <c r="I48" s="5" t="s">
        <v>190</v>
      </c>
    </row>
    <row r="49" spans="1:10" ht="15.75" customHeight="1" x14ac:dyDescent="0.35">
      <c r="A49" s="3" t="s">
        <v>10</v>
      </c>
      <c r="B49" s="4" t="s">
        <v>191</v>
      </c>
      <c r="C49" s="5" t="s">
        <v>192</v>
      </c>
      <c r="D49" s="4">
        <v>0</v>
      </c>
      <c r="E49" s="5"/>
      <c r="F49" s="5" t="s">
        <v>84</v>
      </c>
      <c r="G49" s="5"/>
      <c r="H49" s="4" t="s">
        <v>20</v>
      </c>
      <c r="I49" s="5" t="s">
        <v>193</v>
      </c>
    </row>
    <row r="50" spans="1:10" ht="15.75" customHeight="1" x14ac:dyDescent="0.35">
      <c r="A50" s="3" t="s">
        <v>10</v>
      </c>
      <c r="B50" s="4" t="s">
        <v>194</v>
      </c>
      <c r="C50" s="5" t="s">
        <v>195</v>
      </c>
      <c r="D50" s="21">
        <v>1</v>
      </c>
      <c r="E50" s="5" t="s">
        <v>196</v>
      </c>
      <c r="F50" s="5" t="s">
        <v>197</v>
      </c>
      <c r="G50" s="5" t="s">
        <v>198</v>
      </c>
      <c r="H50" s="4" t="s">
        <v>14</v>
      </c>
      <c r="I50" s="5" t="s">
        <v>199</v>
      </c>
    </row>
    <row r="51" spans="1:10" ht="15.75" customHeight="1" x14ac:dyDescent="0.35">
      <c r="A51" s="3" t="s">
        <v>10</v>
      </c>
      <c r="B51" s="4" t="s">
        <v>200</v>
      </c>
      <c r="C51" s="5" t="s">
        <v>201</v>
      </c>
      <c r="D51" s="4">
        <v>1</v>
      </c>
      <c r="E51" s="5" t="s">
        <v>202</v>
      </c>
      <c r="F51" s="5" t="s">
        <v>35</v>
      </c>
      <c r="G51" s="5"/>
      <c r="H51" s="4" t="s">
        <v>24</v>
      </c>
      <c r="I51" s="5" t="s">
        <v>203</v>
      </c>
    </row>
    <row r="52" spans="1:10" ht="15.75" customHeight="1" x14ac:dyDescent="0.35">
      <c r="A52" s="3" t="s">
        <v>10</v>
      </c>
      <c r="B52" s="4" t="s">
        <v>204</v>
      </c>
      <c r="C52" s="5" t="s">
        <v>205</v>
      </c>
      <c r="D52" s="4">
        <v>1</v>
      </c>
      <c r="E52" s="5" t="s">
        <v>206</v>
      </c>
      <c r="F52" s="5" t="s">
        <v>13</v>
      </c>
      <c r="G52" s="5"/>
      <c r="H52" s="4" t="s">
        <v>49</v>
      </c>
      <c r="I52" s="5" t="s">
        <v>207</v>
      </c>
    </row>
    <row r="53" spans="1:10" ht="15.75" customHeight="1" x14ac:dyDescent="0.35">
      <c r="A53" s="3" t="s">
        <v>10</v>
      </c>
      <c r="B53" s="4" t="s">
        <v>208</v>
      </c>
      <c r="C53" s="5" t="s">
        <v>209</v>
      </c>
      <c r="D53" s="4">
        <v>1</v>
      </c>
      <c r="E53" s="5"/>
      <c r="F53" s="5" t="s">
        <v>29</v>
      </c>
      <c r="G53" s="5" t="s">
        <v>210</v>
      </c>
      <c r="H53" s="4" t="s">
        <v>24</v>
      </c>
      <c r="I53" s="5" t="s">
        <v>211</v>
      </c>
    </row>
    <row r="54" spans="1:10" ht="15.75" customHeight="1" x14ac:dyDescent="0.35">
      <c r="A54" s="3" t="s">
        <v>10</v>
      </c>
      <c r="B54" s="4" t="s">
        <v>212</v>
      </c>
      <c r="C54" s="5" t="s">
        <v>213</v>
      </c>
      <c r="D54" s="4">
        <v>0</v>
      </c>
      <c r="E54" s="5"/>
      <c r="F54" s="5" t="s">
        <v>84</v>
      </c>
      <c r="G54" s="5"/>
      <c r="H54" s="4" t="s">
        <v>20</v>
      </c>
      <c r="I54" s="5" t="s">
        <v>214</v>
      </c>
    </row>
    <row r="55" spans="1:10" ht="15.75" customHeight="1" x14ac:dyDescent="0.35">
      <c r="A55" s="3" t="s">
        <v>10</v>
      </c>
      <c r="B55" s="4" t="s">
        <v>215</v>
      </c>
      <c r="C55" s="5" t="s">
        <v>216</v>
      </c>
      <c r="D55" s="4">
        <v>0</v>
      </c>
      <c r="E55" s="5"/>
      <c r="F55" s="5" t="s">
        <v>77</v>
      </c>
      <c r="G55" s="5"/>
      <c r="H55" s="4" t="s">
        <v>20</v>
      </c>
      <c r="I55" s="5" t="s">
        <v>217</v>
      </c>
    </row>
    <row r="56" spans="1:10" ht="15.75" customHeight="1" x14ac:dyDescent="0.35">
      <c r="A56" s="3" t="s">
        <v>10</v>
      </c>
      <c r="B56" s="4" t="s">
        <v>218</v>
      </c>
      <c r="C56" s="5" t="s">
        <v>219</v>
      </c>
      <c r="D56" s="4">
        <v>0</v>
      </c>
      <c r="E56" s="5"/>
      <c r="F56" s="5" t="s">
        <v>77</v>
      </c>
      <c r="G56" s="5"/>
      <c r="H56" s="4" t="s">
        <v>49</v>
      </c>
      <c r="I56" s="5" t="s">
        <v>220</v>
      </c>
    </row>
    <row r="57" spans="1:10" ht="15.75" customHeight="1" x14ac:dyDescent="0.35">
      <c r="A57" s="3" t="s">
        <v>10</v>
      </c>
      <c r="B57" s="4" t="s">
        <v>221</v>
      </c>
      <c r="C57" s="5" t="s">
        <v>222</v>
      </c>
      <c r="D57" s="4">
        <v>1</v>
      </c>
      <c r="E57" s="5"/>
      <c r="F57" s="5" t="s">
        <v>40</v>
      </c>
      <c r="G57" s="5"/>
      <c r="H57" s="4" t="s">
        <v>14</v>
      </c>
      <c r="I57" s="5" t="s">
        <v>223</v>
      </c>
    </row>
    <row r="58" spans="1:10" ht="15.75" customHeight="1" x14ac:dyDescent="0.35">
      <c r="A58" s="3" t="s">
        <v>10</v>
      </c>
      <c r="B58" s="4" t="s">
        <v>224</v>
      </c>
      <c r="C58" s="5" t="s">
        <v>225</v>
      </c>
      <c r="D58" s="4">
        <v>0</v>
      </c>
      <c r="E58" s="5"/>
      <c r="F58" s="5" t="s">
        <v>77</v>
      </c>
      <c r="G58" s="5"/>
      <c r="H58" s="4" t="s">
        <v>24</v>
      </c>
      <c r="I58" s="5" t="s">
        <v>224</v>
      </c>
    </row>
    <row r="59" spans="1:10" ht="15.75" customHeight="1" x14ac:dyDescent="0.35">
      <c r="A59" s="3" t="s">
        <v>10</v>
      </c>
      <c r="B59" s="4" t="s">
        <v>226</v>
      </c>
      <c r="C59" s="5" t="s">
        <v>227</v>
      </c>
      <c r="D59" s="21">
        <v>0</v>
      </c>
      <c r="E59" s="5"/>
      <c r="F59" s="5" t="s">
        <v>13</v>
      </c>
      <c r="G59" s="5"/>
      <c r="H59" s="4" t="s">
        <v>14</v>
      </c>
      <c r="I59" s="5" t="s">
        <v>228</v>
      </c>
    </row>
    <row r="60" spans="1:10" ht="15.75" customHeight="1" x14ac:dyDescent="0.35">
      <c r="A60" s="3" t="s">
        <v>10</v>
      </c>
      <c r="B60" s="4" t="s">
        <v>229</v>
      </c>
      <c r="C60" s="5" t="s">
        <v>230</v>
      </c>
      <c r="D60" s="4">
        <v>1</v>
      </c>
      <c r="E60" s="5"/>
      <c r="F60" s="5" t="s">
        <v>29</v>
      </c>
      <c r="G60" s="5" t="s">
        <v>231</v>
      </c>
      <c r="H60" s="4" t="s">
        <v>14</v>
      </c>
      <c r="I60" s="5" t="s">
        <v>232</v>
      </c>
    </row>
    <row r="61" spans="1:10" ht="15.75" customHeight="1" x14ac:dyDescent="0.35">
      <c r="A61" s="3" t="s">
        <v>10</v>
      </c>
      <c r="B61" s="4" t="s">
        <v>233</v>
      </c>
      <c r="C61" s="5" t="s">
        <v>234</v>
      </c>
      <c r="D61" s="4">
        <v>1</v>
      </c>
      <c r="E61" s="5"/>
      <c r="F61" s="5" t="s">
        <v>29</v>
      </c>
      <c r="G61" s="5" t="s">
        <v>235</v>
      </c>
      <c r="H61" s="4" t="s">
        <v>36</v>
      </c>
      <c r="I61" s="5" t="s">
        <v>236</v>
      </c>
    </row>
    <row r="62" spans="1:10" ht="15.75" customHeight="1" x14ac:dyDescent="0.35">
      <c r="A62" s="3" t="s">
        <v>10</v>
      </c>
      <c r="B62" s="4" t="s">
        <v>237</v>
      </c>
      <c r="C62" s="5" t="s">
        <v>238</v>
      </c>
      <c r="D62" s="4">
        <v>1</v>
      </c>
      <c r="E62" s="5"/>
      <c r="F62" s="5" t="s">
        <v>29</v>
      </c>
      <c r="G62" s="5" t="s">
        <v>239</v>
      </c>
      <c r="H62" s="4" t="s">
        <v>14</v>
      </c>
      <c r="I62" s="5" t="s">
        <v>240</v>
      </c>
    </row>
    <row r="63" spans="1:10" ht="15.75" customHeight="1" x14ac:dyDescent="0.35">
      <c r="A63" s="3" t="s">
        <v>10</v>
      </c>
      <c r="B63" s="4" t="s">
        <v>241</v>
      </c>
      <c r="C63" s="5" t="s">
        <v>242</v>
      </c>
      <c r="D63" s="4">
        <v>0</v>
      </c>
      <c r="E63" s="5"/>
      <c r="F63" s="5" t="s">
        <v>84</v>
      </c>
      <c r="G63" s="5"/>
      <c r="H63" s="4" t="s">
        <v>20</v>
      </c>
      <c r="I63" s="5" t="s">
        <v>243</v>
      </c>
    </row>
    <row r="64" spans="1:10" ht="15.75" customHeight="1" x14ac:dyDescent="0.35">
      <c r="A64" s="3" t="s">
        <v>10</v>
      </c>
      <c r="B64" s="4" t="s">
        <v>244</v>
      </c>
      <c r="C64" s="5" t="s">
        <v>245</v>
      </c>
      <c r="D64" s="21">
        <v>1</v>
      </c>
      <c r="E64" s="5"/>
      <c r="F64" s="5" t="s">
        <v>29</v>
      </c>
      <c r="G64" s="5" t="s">
        <v>246</v>
      </c>
      <c r="H64" s="4" t="s">
        <v>14</v>
      </c>
      <c r="I64" s="5" t="s">
        <v>247</v>
      </c>
      <c r="J64" s="5" t="s">
        <v>248</v>
      </c>
    </row>
    <row r="65" spans="1:9" ht="15.75" customHeight="1" x14ac:dyDescent="0.35">
      <c r="A65" s="3" t="s">
        <v>10</v>
      </c>
      <c r="B65" s="4" t="s">
        <v>249</v>
      </c>
      <c r="C65" s="5" t="s">
        <v>250</v>
      </c>
      <c r="D65" s="4">
        <v>1</v>
      </c>
      <c r="E65" s="5" t="s">
        <v>251</v>
      </c>
      <c r="F65" s="5" t="s">
        <v>19</v>
      </c>
      <c r="G65" s="5"/>
      <c r="H65" s="4" t="s">
        <v>49</v>
      </c>
      <c r="I65" s="5" t="s">
        <v>252</v>
      </c>
    </row>
    <row r="66" spans="1:9" ht="15.75" customHeight="1" x14ac:dyDescent="0.35">
      <c r="A66" s="3" t="s">
        <v>10</v>
      </c>
      <c r="B66" s="4" t="s">
        <v>253</v>
      </c>
      <c r="C66" s="5" t="s">
        <v>254</v>
      </c>
      <c r="D66" s="4">
        <v>1</v>
      </c>
      <c r="E66" s="5"/>
      <c r="F66" s="5" t="s">
        <v>35</v>
      </c>
      <c r="G66" s="5"/>
      <c r="H66" s="4" t="s">
        <v>36</v>
      </c>
      <c r="I66" s="5" t="s">
        <v>137</v>
      </c>
    </row>
    <row r="67" spans="1:9" ht="15.75" customHeight="1" x14ac:dyDescent="0.35">
      <c r="A67" s="3" t="s">
        <v>10</v>
      </c>
      <c r="B67" s="4" t="s">
        <v>255</v>
      </c>
      <c r="C67" s="5" t="s">
        <v>256</v>
      </c>
      <c r="D67" s="4">
        <v>1</v>
      </c>
      <c r="E67" s="5"/>
      <c r="F67" s="5" t="s">
        <v>40</v>
      </c>
      <c r="G67" s="5"/>
      <c r="H67" s="4" t="s">
        <v>14</v>
      </c>
      <c r="I67" s="5" t="s">
        <v>257</v>
      </c>
    </row>
    <row r="68" spans="1:9" ht="15.75" customHeight="1" x14ac:dyDescent="0.35">
      <c r="A68" s="3" t="s">
        <v>10</v>
      </c>
      <c r="B68" s="4" t="s">
        <v>258</v>
      </c>
      <c r="C68" s="5" t="s">
        <v>259</v>
      </c>
      <c r="D68" s="4">
        <v>1</v>
      </c>
      <c r="E68" s="5"/>
      <c r="F68" s="5" t="s">
        <v>40</v>
      </c>
      <c r="G68" s="5"/>
      <c r="H68" s="4" t="s">
        <v>14</v>
      </c>
      <c r="I68" s="5" t="s">
        <v>260</v>
      </c>
    </row>
    <row r="69" spans="1:9" ht="15.75" customHeight="1" x14ac:dyDescent="0.35">
      <c r="A69" s="3" t="s">
        <v>10</v>
      </c>
      <c r="B69" s="4" t="s">
        <v>261</v>
      </c>
      <c r="C69" s="5" t="s">
        <v>262</v>
      </c>
      <c r="D69" s="4">
        <v>0</v>
      </c>
      <c r="E69" s="5"/>
      <c r="F69" s="5" t="s">
        <v>84</v>
      </c>
      <c r="G69" s="5"/>
      <c r="H69" s="4" t="s">
        <v>20</v>
      </c>
      <c r="I69" s="5" t="s">
        <v>263</v>
      </c>
    </row>
    <row r="70" spans="1:9" ht="15.75" customHeight="1" x14ac:dyDescent="0.35">
      <c r="A70" s="3" t="s">
        <v>10</v>
      </c>
      <c r="B70" s="4" t="s">
        <v>264</v>
      </c>
      <c r="C70" s="5" t="s">
        <v>265</v>
      </c>
      <c r="D70" s="4">
        <v>0</v>
      </c>
      <c r="E70" s="5"/>
      <c r="F70" s="5" t="s">
        <v>140</v>
      </c>
      <c r="G70" s="5"/>
      <c r="H70" s="4" t="s">
        <v>20</v>
      </c>
      <c r="I70" s="5" t="s">
        <v>266</v>
      </c>
    </row>
    <row r="71" spans="1:9" ht="15.75" customHeight="1" x14ac:dyDescent="0.35">
      <c r="A71" s="3" t="s">
        <v>10</v>
      </c>
      <c r="B71" s="4" t="s">
        <v>267</v>
      </c>
      <c r="C71" s="5" t="s">
        <v>268</v>
      </c>
      <c r="D71" s="4">
        <v>1</v>
      </c>
      <c r="E71" s="5"/>
      <c r="F71" s="5" t="s">
        <v>35</v>
      </c>
      <c r="G71" s="5"/>
      <c r="H71" s="4" t="s">
        <v>36</v>
      </c>
      <c r="I71" s="5" t="s">
        <v>187</v>
      </c>
    </row>
    <row r="72" spans="1:9" ht="15.75" customHeight="1" x14ac:dyDescent="0.35">
      <c r="A72" s="3" t="s">
        <v>10</v>
      </c>
      <c r="B72" s="4" t="s">
        <v>269</v>
      </c>
      <c r="C72" s="5" t="s">
        <v>270</v>
      </c>
      <c r="D72" s="4">
        <v>1</v>
      </c>
      <c r="E72" s="5"/>
      <c r="F72" s="5" t="s">
        <v>35</v>
      </c>
      <c r="G72" s="5"/>
      <c r="H72" s="4" t="s">
        <v>49</v>
      </c>
      <c r="I72" s="5" t="s">
        <v>271</v>
      </c>
    </row>
    <row r="73" spans="1:9" ht="15.75" customHeight="1" x14ac:dyDescent="0.35">
      <c r="A73" s="3" t="s">
        <v>10</v>
      </c>
      <c r="B73" s="4" t="s">
        <v>272</v>
      </c>
      <c r="C73" s="5" t="s">
        <v>273</v>
      </c>
      <c r="D73" s="4">
        <v>1</v>
      </c>
      <c r="E73" s="5"/>
      <c r="F73" s="5" t="s">
        <v>274</v>
      </c>
      <c r="G73" s="5" t="s">
        <v>275</v>
      </c>
      <c r="H73" s="4" t="s">
        <v>14</v>
      </c>
      <c r="I73" s="5" t="s">
        <v>276</v>
      </c>
    </row>
    <row r="74" spans="1:9" ht="15.75" customHeight="1" x14ac:dyDescent="0.35">
      <c r="A74" s="3" t="s">
        <v>10</v>
      </c>
      <c r="B74" s="4" t="s">
        <v>277</v>
      </c>
      <c r="C74" s="5" t="s">
        <v>278</v>
      </c>
      <c r="D74" s="4">
        <v>1</v>
      </c>
      <c r="E74" s="5"/>
      <c r="F74" s="5" t="s">
        <v>40</v>
      </c>
      <c r="G74" s="5"/>
      <c r="H74" s="4" t="s">
        <v>14</v>
      </c>
      <c r="I74" s="5" t="s">
        <v>279</v>
      </c>
    </row>
    <row r="75" spans="1:9" ht="15.75" customHeight="1" x14ac:dyDescent="0.35">
      <c r="A75" s="3" t="s">
        <v>10</v>
      </c>
      <c r="B75" s="4" t="s">
        <v>280</v>
      </c>
      <c r="C75" s="5" t="s">
        <v>281</v>
      </c>
      <c r="D75" s="4">
        <v>1</v>
      </c>
      <c r="E75" s="5"/>
      <c r="F75" s="5" t="s">
        <v>29</v>
      </c>
      <c r="G75" s="5" t="s">
        <v>282</v>
      </c>
      <c r="H75" s="4" t="s">
        <v>14</v>
      </c>
      <c r="I75" s="5" t="s">
        <v>283</v>
      </c>
    </row>
    <row r="76" spans="1:9" ht="15.75" customHeight="1" x14ac:dyDescent="0.35">
      <c r="A76" s="3" t="s">
        <v>10</v>
      </c>
      <c r="B76" s="4" t="s">
        <v>284</v>
      </c>
      <c r="C76" s="5" t="s">
        <v>285</v>
      </c>
      <c r="D76" s="21">
        <v>1</v>
      </c>
      <c r="E76" s="5"/>
      <c r="F76" s="5" t="s">
        <v>29</v>
      </c>
      <c r="G76" s="5" t="s">
        <v>286</v>
      </c>
      <c r="H76" s="4" t="s">
        <v>14</v>
      </c>
      <c r="I76" s="5" t="s">
        <v>287</v>
      </c>
    </row>
    <row r="77" spans="1:9" ht="15.75" customHeight="1" x14ac:dyDescent="0.35">
      <c r="A77" s="3" t="s">
        <v>10</v>
      </c>
      <c r="B77" s="4" t="s">
        <v>288</v>
      </c>
      <c r="C77" s="5" t="s">
        <v>289</v>
      </c>
      <c r="D77" s="4">
        <v>1</v>
      </c>
      <c r="E77" s="5" t="s">
        <v>290</v>
      </c>
      <c r="F77" s="5" t="s">
        <v>29</v>
      </c>
      <c r="G77" s="5" t="s">
        <v>291</v>
      </c>
      <c r="H77" s="4" t="s">
        <v>14</v>
      </c>
      <c r="I77" s="5" t="s">
        <v>292</v>
      </c>
    </row>
    <row r="78" spans="1:9" ht="15.75" customHeight="1" x14ac:dyDescent="0.35">
      <c r="A78" s="3" t="s">
        <v>10</v>
      </c>
      <c r="B78" s="4" t="s">
        <v>293</v>
      </c>
      <c r="C78" s="5" t="s">
        <v>294</v>
      </c>
      <c r="D78" s="4">
        <v>1</v>
      </c>
      <c r="E78" s="5"/>
      <c r="F78" s="5" t="s">
        <v>29</v>
      </c>
      <c r="G78" s="5" t="s">
        <v>295</v>
      </c>
      <c r="H78" s="4" t="s">
        <v>14</v>
      </c>
      <c r="I78" s="5" t="s">
        <v>296</v>
      </c>
    </row>
    <row r="79" spans="1:9" ht="15.75" customHeight="1" x14ac:dyDescent="0.35">
      <c r="A79" s="3" t="s">
        <v>10</v>
      </c>
      <c r="B79" s="4" t="s">
        <v>297</v>
      </c>
      <c r="C79" s="5" t="s">
        <v>298</v>
      </c>
      <c r="D79" s="4">
        <v>1</v>
      </c>
      <c r="E79" s="5"/>
      <c r="F79" s="5" t="s">
        <v>29</v>
      </c>
      <c r="G79" s="5" t="s">
        <v>299</v>
      </c>
      <c r="H79" s="4" t="s">
        <v>49</v>
      </c>
      <c r="I79" s="5" t="s">
        <v>300</v>
      </c>
    </row>
    <row r="80" spans="1:9" ht="15.75" customHeight="1" x14ac:dyDescent="0.35">
      <c r="A80" s="3" t="s">
        <v>10</v>
      </c>
      <c r="B80" s="4" t="s">
        <v>301</v>
      </c>
      <c r="C80" s="5" t="s">
        <v>302</v>
      </c>
      <c r="D80" s="4">
        <v>1</v>
      </c>
      <c r="E80" s="5" t="s">
        <v>303</v>
      </c>
      <c r="F80" s="5" t="s">
        <v>19</v>
      </c>
      <c r="G80" s="5"/>
      <c r="H80" s="4" t="s">
        <v>49</v>
      </c>
      <c r="I80" s="5" t="s">
        <v>304</v>
      </c>
    </row>
    <row r="81" spans="1:9" ht="15.75" customHeight="1" x14ac:dyDescent="0.35">
      <c r="A81" s="3" t="s">
        <v>10</v>
      </c>
      <c r="B81" s="4" t="s">
        <v>305</v>
      </c>
      <c r="C81" s="5" t="s">
        <v>306</v>
      </c>
      <c r="D81" s="4">
        <v>1</v>
      </c>
      <c r="E81" s="5" t="s">
        <v>307</v>
      </c>
      <c r="F81" s="5" t="s">
        <v>29</v>
      </c>
      <c r="G81" s="5" t="s">
        <v>308</v>
      </c>
      <c r="H81" s="4" t="s">
        <v>14</v>
      </c>
      <c r="I81" s="5">
        <v>1765</v>
      </c>
    </row>
    <row r="82" spans="1:9" ht="15.75" customHeight="1" x14ac:dyDescent="0.35">
      <c r="A82" s="3" t="s">
        <v>10</v>
      </c>
      <c r="B82" s="4" t="s">
        <v>309</v>
      </c>
      <c r="C82" s="5" t="s">
        <v>310</v>
      </c>
      <c r="D82" s="4">
        <v>1</v>
      </c>
      <c r="E82" s="5"/>
      <c r="F82" s="5" t="s">
        <v>274</v>
      </c>
      <c r="G82" s="5" t="s">
        <v>311</v>
      </c>
      <c r="H82" s="4" t="s">
        <v>14</v>
      </c>
      <c r="I82" s="5" t="s">
        <v>312</v>
      </c>
    </row>
    <row r="83" spans="1:9" ht="15.75" customHeight="1" x14ac:dyDescent="0.35">
      <c r="A83" s="3" t="s">
        <v>10</v>
      </c>
      <c r="B83" s="4" t="s">
        <v>313</v>
      </c>
      <c r="C83" s="5" t="s">
        <v>314</v>
      </c>
      <c r="D83" s="4">
        <v>1</v>
      </c>
      <c r="E83" s="5"/>
      <c r="F83" s="5" t="s">
        <v>40</v>
      </c>
      <c r="G83" s="5"/>
      <c r="H83" s="4" t="s">
        <v>14</v>
      </c>
      <c r="I83" s="5" t="s">
        <v>315</v>
      </c>
    </row>
    <row r="84" spans="1:9" ht="15.75" customHeight="1" x14ac:dyDescent="0.35">
      <c r="A84" s="3" t="s">
        <v>10</v>
      </c>
      <c r="B84" s="4" t="s">
        <v>316</v>
      </c>
      <c r="C84" s="5" t="s">
        <v>317</v>
      </c>
      <c r="D84" s="4">
        <v>1</v>
      </c>
      <c r="E84" s="5"/>
      <c r="F84" s="5" t="s">
        <v>40</v>
      </c>
      <c r="G84" s="5"/>
      <c r="H84" s="4" t="s">
        <v>14</v>
      </c>
      <c r="I84" s="5" t="s">
        <v>318</v>
      </c>
    </row>
    <row r="85" spans="1:9" ht="15.75" customHeight="1" x14ac:dyDescent="0.35">
      <c r="A85" s="3" t="s">
        <v>10</v>
      </c>
      <c r="B85" s="4" t="s">
        <v>319</v>
      </c>
      <c r="C85" s="5" t="s">
        <v>320</v>
      </c>
      <c r="D85" s="4">
        <v>1</v>
      </c>
      <c r="E85" s="5"/>
      <c r="F85" s="5" t="s">
        <v>40</v>
      </c>
      <c r="G85" s="5"/>
      <c r="H85" s="4" t="s">
        <v>14</v>
      </c>
      <c r="I85" s="5" t="s">
        <v>321</v>
      </c>
    </row>
    <row r="86" spans="1:9" ht="15.75" customHeight="1" x14ac:dyDescent="0.35">
      <c r="A86" s="3" t="s">
        <v>10</v>
      </c>
      <c r="B86" s="4" t="s">
        <v>322</v>
      </c>
      <c r="C86" s="5" t="s">
        <v>323</v>
      </c>
      <c r="D86" s="4">
        <v>1</v>
      </c>
      <c r="E86" s="5" t="s">
        <v>324</v>
      </c>
      <c r="F86" s="5" t="s">
        <v>35</v>
      </c>
      <c r="G86" s="5"/>
      <c r="H86" s="4" t="s">
        <v>36</v>
      </c>
      <c r="I86" s="5" t="s">
        <v>325</v>
      </c>
    </row>
    <row r="87" spans="1:9" ht="15.75" customHeight="1" x14ac:dyDescent="0.35">
      <c r="A87" s="3" t="s">
        <v>10</v>
      </c>
      <c r="B87" s="4" t="s">
        <v>326</v>
      </c>
      <c r="C87" s="5" t="s">
        <v>327</v>
      </c>
      <c r="D87" s="4">
        <v>0</v>
      </c>
      <c r="E87" s="5"/>
      <c r="F87" s="5"/>
      <c r="G87" s="5"/>
      <c r="H87" s="4" t="s">
        <v>24</v>
      </c>
      <c r="I87" s="5" t="s">
        <v>328</v>
      </c>
    </row>
    <row r="88" spans="1:9" ht="15.75" customHeight="1" x14ac:dyDescent="0.35">
      <c r="A88" s="3" t="s">
        <v>10</v>
      </c>
      <c r="B88" s="4" t="s">
        <v>329</v>
      </c>
      <c r="C88" s="5" t="s">
        <v>330</v>
      </c>
      <c r="D88" s="4">
        <v>0</v>
      </c>
      <c r="E88" s="5"/>
      <c r="F88" s="5" t="s">
        <v>19</v>
      </c>
      <c r="G88" s="5"/>
      <c r="H88" s="4" t="s">
        <v>14</v>
      </c>
      <c r="I88" s="5" t="s">
        <v>331</v>
      </c>
    </row>
    <row r="89" spans="1:9" ht="15.75" customHeight="1" x14ac:dyDescent="0.35">
      <c r="A89" s="3" t="s">
        <v>10</v>
      </c>
      <c r="B89" s="4" t="s">
        <v>332</v>
      </c>
      <c r="C89" s="5" t="s">
        <v>333</v>
      </c>
      <c r="D89" s="4">
        <v>1</v>
      </c>
      <c r="E89" s="5" t="s">
        <v>334</v>
      </c>
      <c r="F89" s="5" t="s">
        <v>35</v>
      </c>
      <c r="G89" s="5"/>
      <c r="H89" s="4" t="s">
        <v>36</v>
      </c>
      <c r="I89" s="5" t="s">
        <v>335</v>
      </c>
    </row>
    <row r="90" spans="1:9" ht="15.75" customHeight="1" x14ac:dyDescent="0.35">
      <c r="A90" s="3" t="s">
        <v>10</v>
      </c>
      <c r="B90" s="4" t="s">
        <v>336</v>
      </c>
      <c r="C90" s="5" t="s">
        <v>337</v>
      </c>
      <c r="D90" s="4">
        <v>1</v>
      </c>
      <c r="E90" s="5"/>
      <c r="F90" s="5" t="s">
        <v>35</v>
      </c>
      <c r="G90" s="5"/>
      <c r="H90" s="4" t="s">
        <v>49</v>
      </c>
      <c r="I90" s="5" t="s">
        <v>338</v>
      </c>
    </row>
    <row r="91" spans="1:9" ht="15.75" customHeight="1" x14ac:dyDescent="0.35">
      <c r="A91" s="3" t="s">
        <v>10</v>
      </c>
      <c r="B91" s="4" t="s">
        <v>339</v>
      </c>
      <c r="C91" s="5" t="s">
        <v>340</v>
      </c>
      <c r="D91" s="4">
        <v>0</v>
      </c>
      <c r="E91" s="5"/>
      <c r="F91" s="5" t="s">
        <v>77</v>
      </c>
      <c r="G91" s="5"/>
      <c r="H91" s="4" t="s">
        <v>36</v>
      </c>
      <c r="I91" s="5" t="s">
        <v>341</v>
      </c>
    </row>
    <row r="92" spans="1:9" ht="15.75" customHeight="1" x14ac:dyDescent="0.35">
      <c r="A92" s="3" t="s">
        <v>10</v>
      </c>
      <c r="B92" s="4" t="s">
        <v>342</v>
      </c>
      <c r="C92" s="5" t="s">
        <v>343</v>
      </c>
      <c r="D92" s="4">
        <v>1</v>
      </c>
      <c r="E92" s="5" t="s">
        <v>344</v>
      </c>
      <c r="F92" s="5" t="s">
        <v>35</v>
      </c>
      <c r="G92" s="5"/>
      <c r="H92" s="4" t="s">
        <v>49</v>
      </c>
      <c r="I92" s="5" t="s">
        <v>345</v>
      </c>
    </row>
    <row r="93" spans="1:9" ht="15.75" customHeight="1" x14ac:dyDescent="0.35">
      <c r="A93" s="3" t="s">
        <v>10</v>
      </c>
      <c r="B93" s="4" t="s">
        <v>346</v>
      </c>
      <c r="C93" s="5" t="s">
        <v>347</v>
      </c>
      <c r="D93" s="4">
        <v>1</v>
      </c>
      <c r="E93" s="5" t="s">
        <v>123</v>
      </c>
      <c r="F93" s="5" t="s">
        <v>19</v>
      </c>
      <c r="G93" s="5"/>
      <c r="H93" s="4" t="s">
        <v>49</v>
      </c>
      <c r="I93" s="5" t="s">
        <v>348</v>
      </c>
    </row>
    <row r="94" spans="1:9" ht="15.75" customHeight="1" x14ac:dyDescent="0.35">
      <c r="A94" s="3" t="s">
        <v>10</v>
      </c>
      <c r="B94" s="4" t="s">
        <v>349</v>
      </c>
      <c r="C94" s="5" t="s">
        <v>350</v>
      </c>
      <c r="D94" s="4">
        <v>1</v>
      </c>
      <c r="E94" s="5"/>
      <c r="F94" s="5" t="s">
        <v>40</v>
      </c>
      <c r="G94" s="5"/>
      <c r="H94" s="4" t="s">
        <v>14</v>
      </c>
      <c r="I94" s="5" t="s">
        <v>351</v>
      </c>
    </row>
    <row r="95" spans="1:9" ht="15.75" customHeight="1" x14ac:dyDescent="0.35">
      <c r="A95" s="3" t="s">
        <v>10</v>
      </c>
      <c r="B95" s="4" t="s">
        <v>352</v>
      </c>
      <c r="C95" s="5" t="s">
        <v>353</v>
      </c>
      <c r="D95" s="4">
        <v>1</v>
      </c>
      <c r="E95" s="5" t="s">
        <v>354</v>
      </c>
      <c r="F95" s="5" t="s">
        <v>19</v>
      </c>
      <c r="G95" s="5"/>
      <c r="H95" s="4" t="s">
        <v>20</v>
      </c>
      <c r="I95" s="5" t="s">
        <v>137</v>
      </c>
    </row>
    <row r="96" spans="1:9" ht="15.75" customHeight="1" x14ac:dyDescent="0.35">
      <c r="A96" s="3" t="s">
        <v>10</v>
      </c>
      <c r="B96" s="4" t="s">
        <v>355</v>
      </c>
      <c r="C96" s="5" t="s">
        <v>356</v>
      </c>
      <c r="D96" s="4">
        <v>0</v>
      </c>
      <c r="E96" s="5"/>
      <c r="F96" s="5" t="s">
        <v>140</v>
      </c>
      <c r="G96" s="5"/>
      <c r="H96" s="4" t="s">
        <v>49</v>
      </c>
      <c r="I96" s="5" t="s">
        <v>357</v>
      </c>
    </row>
    <row r="97" spans="1:9" ht="15.75" customHeight="1" x14ac:dyDescent="0.35">
      <c r="A97" s="3" t="s">
        <v>10</v>
      </c>
      <c r="B97" s="4" t="s">
        <v>358</v>
      </c>
      <c r="C97" s="5" t="s">
        <v>359</v>
      </c>
      <c r="D97" s="4">
        <v>1</v>
      </c>
      <c r="E97" s="5"/>
      <c r="F97" s="5" t="s">
        <v>40</v>
      </c>
      <c r="G97" s="5"/>
      <c r="H97" s="4" t="s">
        <v>14</v>
      </c>
      <c r="I97" s="5" t="s">
        <v>360</v>
      </c>
    </row>
    <row r="98" spans="1:9" ht="15.75" customHeight="1" x14ac:dyDescent="0.35">
      <c r="A98" s="3" t="s">
        <v>10</v>
      </c>
      <c r="B98" s="4" t="s">
        <v>361</v>
      </c>
      <c r="C98" s="5" t="s">
        <v>362</v>
      </c>
      <c r="D98" s="4">
        <v>0</v>
      </c>
      <c r="E98" s="5"/>
      <c r="F98" s="5" t="s">
        <v>140</v>
      </c>
      <c r="G98" s="5"/>
      <c r="H98" s="4" t="s">
        <v>36</v>
      </c>
      <c r="I98" s="5" t="s">
        <v>363</v>
      </c>
    </row>
    <row r="99" spans="1:9" ht="15.75" customHeight="1" x14ac:dyDescent="0.35">
      <c r="A99" s="3" t="s">
        <v>10</v>
      </c>
      <c r="B99" s="4" t="s">
        <v>364</v>
      </c>
      <c r="C99" s="5" t="s">
        <v>365</v>
      </c>
      <c r="D99" s="4">
        <v>0</v>
      </c>
      <c r="E99" s="5"/>
      <c r="F99" s="5" t="s">
        <v>77</v>
      </c>
      <c r="G99" s="5"/>
      <c r="H99" s="4" t="s">
        <v>49</v>
      </c>
      <c r="I99" s="5" t="s">
        <v>366</v>
      </c>
    </row>
    <row r="100" spans="1:9" ht="15.75" customHeight="1" x14ac:dyDescent="0.35">
      <c r="A100" s="3" t="s">
        <v>10</v>
      </c>
      <c r="B100" s="4" t="s">
        <v>367</v>
      </c>
      <c r="C100" s="5" t="s">
        <v>368</v>
      </c>
      <c r="D100" s="4">
        <v>0</v>
      </c>
      <c r="E100" s="5"/>
      <c r="F100" s="5" t="s">
        <v>84</v>
      </c>
      <c r="G100" s="5"/>
      <c r="H100" s="4" t="s">
        <v>20</v>
      </c>
      <c r="I100" s="5" t="s">
        <v>369</v>
      </c>
    </row>
    <row r="101" spans="1:9" ht="15.75" customHeight="1" x14ac:dyDescent="0.35">
      <c r="A101" s="3" t="s">
        <v>10</v>
      </c>
      <c r="B101" s="4" t="s">
        <v>370</v>
      </c>
      <c r="C101" s="5" t="s">
        <v>371</v>
      </c>
      <c r="D101" s="4">
        <v>0</v>
      </c>
      <c r="E101" s="5"/>
      <c r="F101" s="5" t="s">
        <v>77</v>
      </c>
      <c r="G101" s="5"/>
      <c r="H101" s="4" t="s">
        <v>14</v>
      </c>
      <c r="I101" s="5" t="s">
        <v>372</v>
      </c>
    </row>
    <row r="102" spans="1:9" ht="15.75" customHeight="1" x14ac:dyDescent="0.35">
      <c r="A102" s="8" t="s">
        <v>373</v>
      </c>
      <c r="B102" s="4" t="s">
        <v>374</v>
      </c>
      <c r="C102" s="5" t="s">
        <v>375</v>
      </c>
      <c r="D102" s="9"/>
      <c r="E102" s="5"/>
      <c r="F102" s="5"/>
      <c r="G102" s="5"/>
      <c r="H102" s="4" t="s">
        <v>14</v>
      </c>
      <c r="I102" s="5" t="s">
        <v>376</v>
      </c>
    </row>
    <row r="103" spans="1:9" ht="15.75" customHeight="1" x14ac:dyDescent="0.35">
      <c r="A103" s="8" t="s">
        <v>373</v>
      </c>
      <c r="B103" s="4" t="s">
        <v>377</v>
      </c>
      <c r="C103" s="7" t="s">
        <v>378</v>
      </c>
      <c r="D103" s="4">
        <v>1</v>
      </c>
      <c r="E103" s="5"/>
      <c r="F103" s="5" t="s">
        <v>92</v>
      </c>
      <c r="G103" s="5" t="s">
        <v>379</v>
      </c>
      <c r="H103" s="4" t="s">
        <v>380</v>
      </c>
      <c r="I103" s="5" t="s">
        <v>381</v>
      </c>
    </row>
    <row r="104" spans="1:9" ht="15.75" customHeight="1" x14ac:dyDescent="0.35">
      <c r="A104" s="8" t="s">
        <v>373</v>
      </c>
      <c r="B104" s="4" t="s">
        <v>382</v>
      </c>
      <c r="C104" s="5" t="s">
        <v>383</v>
      </c>
      <c r="D104" s="4">
        <v>1</v>
      </c>
      <c r="E104" s="5"/>
      <c r="F104" s="5" t="s">
        <v>274</v>
      </c>
      <c r="G104" s="5" t="s">
        <v>384</v>
      </c>
      <c r="H104" s="4" t="s">
        <v>14</v>
      </c>
      <c r="I104" s="5" t="s">
        <v>385</v>
      </c>
    </row>
    <row r="105" spans="1:9" ht="15.75" customHeight="1" x14ac:dyDescent="0.35">
      <c r="A105" s="8" t="s">
        <v>373</v>
      </c>
      <c r="B105" s="4" t="s">
        <v>386</v>
      </c>
      <c r="C105" s="5" t="s">
        <v>387</v>
      </c>
      <c r="D105" s="20"/>
      <c r="E105" s="5"/>
      <c r="F105" s="5" t="s">
        <v>29</v>
      </c>
      <c r="G105" s="5" t="s">
        <v>388</v>
      </c>
      <c r="H105" s="4" t="s">
        <v>14</v>
      </c>
      <c r="I105" s="5" t="s">
        <v>389</v>
      </c>
    </row>
    <row r="106" spans="1:9" ht="15.75" customHeight="1" x14ac:dyDescent="0.35">
      <c r="A106" s="8" t="s">
        <v>373</v>
      </c>
      <c r="B106" s="4" t="s">
        <v>390</v>
      </c>
      <c r="C106" s="5" t="s">
        <v>391</v>
      </c>
      <c r="D106" s="9"/>
      <c r="E106" s="5"/>
      <c r="F106" s="5"/>
      <c r="G106" s="5"/>
      <c r="H106" s="4" t="s">
        <v>14</v>
      </c>
      <c r="I106" s="5" t="s">
        <v>392</v>
      </c>
    </row>
    <row r="107" spans="1:9" ht="15.75" customHeight="1" x14ac:dyDescent="0.35">
      <c r="A107" s="8" t="s">
        <v>373</v>
      </c>
      <c r="B107" s="4" t="s">
        <v>393</v>
      </c>
      <c r="C107" s="5" t="s">
        <v>394</v>
      </c>
      <c r="D107" s="4">
        <v>1</v>
      </c>
      <c r="E107" s="5"/>
      <c r="F107" s="5" t="s">
        <v>29</v>
      </c>
      <c r="G107" s="5" t="s">
        <v>395</v>
      </c>
      <c r="H107" s="4" t="s">
        <v>14</v>
      </c>
      <c r="I107" s="5" t="s">
        <v>396</v>
      </c>
    </row>
    <row r="108" spans="1:9" ht="15.75" customHeight="1" x14ac:dyDescent="0.35">
      <c r="A108" s="8" t="s">
        <v>373</v>
      </c>
      <c r="B108" s="4" t="s">
        <v>397</v>
      </c>
      <c r="C108" s="5" t="s">
        <v>398</v>
      </c>
      <c r="D108" s="4">
        <v>1</v>
      </c>
      <c r="E108" s="5"/>
      <c r="F108" s="5" t="s">
        <v>29</v>
      </c>
      <c r="G108" s="5" t="s">
        <v>399</v>
      </c>
      <c r="H108" s="4" t="s">
        <v>14</v>
      </c>
      <c r="I108" s="5" t="s">
        <v>400</v>
      </c>
    </row>
    <row r="109" spans="1:9" ht="15.75" customHeight="1" x14ac:dyDescent="0.35">
      <c r="A109" s="8" t="s">
        <v>373</v>
      </c>
      <c r="B109" s="4" t="s">
        <v>401</v>
      </c>
      <c r="C109" s="5" t="s">
        <v>402</v>
      </c>
      <c r="E109" s="5"/>
      <c r="F109" s="5"/>
      <c r="G109" s="5"/>
      <c r="H109" s="4" t="s">
        <v>14</v>
      </c>
      <c r="I109" s="5" t="s">
        <v>403</v>
      </c>
    </row>
    <row r="110" spans="1:9" ht="15.75" customHeight="1" x14ac:dyDescent="0.35">
      <c r="A110" s="8" t="s">
        <v>373</v>
      </c>
      <c r="B110" s="4" t="s">
        <v>404</v>
      </c>
      <c r="C110" s="5" t="s">
        <v>405</v>
      </c>
      <c r="D110" s="4">
        <v>1</v>
      </c>
      <c r="E110" s="5"/>
      <c r="F110" s="5" t="s">
        <v>35</v>
      </c>
      <c r="G110" s="5"/>
      <c r="H110" s="4" t="s">
        <v>24</v>
      </c>
      <c r="I110" s="5" t="s">
        <v>406</v>
      </c>
    </row>
    <row r="111" spans="1:9" ht="15.75" customHeight="1" x14ac:dyDescent="0.35">
      <c r="A111" s="8" t="s">
        <v>373</v>
      </c>
      <c r="B111" s="4" t="s">
        <v>133</v>
      </c>
      <c r="C111" s="5" t="s">
        <v>407</v>
      </c>
      <c r="D111" s="4">
        <v>0</v>
      </c>
      <c r="E111" s="5"/>
      <c r="F111" s="5" t="s">
        <v>77</v>
      </c>
      <c r="G111" s="5"/>
      <c r="H111" s="4" t="s">
        <v>14</v>
      </c>
      <c r="I111" s="5" t="s">
        <v>133</v>
      </c>
    </row>
    <row r="112" spans="1:9" ht="15.75" customHeight="1" x14ac:dyDescent="0.35">
      <c r="A112" s="8" t="s">
        <v>373</v>
      </c>
      <c r="B112" s="4" t="s">
        <v>408</v>
      </c>
      <c r="C112" s="7" t="s">
        <v>409</v>
      </c>
      <c r="D112" s="4">
        <v>1</v>
      </c>
      <c r="E112" s="5"/>
      <c r="F112" s="5" t="s">
        <v>29</v>
      </c>
      <c r="G112" s="5" t="s">
        <v>410</v>
      </c>
      <c r="H112" s="4" t="s">
        <v>14</v>
      </c>
      <c r="I112" s="5" t="s">
        <v>411</v>
      </c>
    </row>
    <row r="113" spans="1:9" ht="15.75" customHeight="1" x14ac:dyDescent="0.35">
      <c r="A113" s="8" t="s">
        <v>373</v>
      </c>
      <c r="B113" s="4" t="s">
        <v>412</v>
      </c>
      <c r="C113" s="5" t="s">
        <v>413</v>
      </c>
      <c r="D113" s="9"/>
      <c r="E113" s="5"/>
      <c r="F113" s="5"/>
      <c r="G113" s="5"/>
      <c r="H113" s="4" t="s">
        <v>14</v>
      </c>
      <c r="I113" s="5" t="s">
        <v>414</v>
      </c>
    </row>
    <row r="114" spans="1:9" ht="15.75" customHeight="1" x14ac:dyDescent="0.35">
      <c r="A114" s="8" t="s">
        <v>373</v>
      </c>
      <c r="B114" s="4" t="s">
        <v>415</v>
      </c>
      <c r="C114" s="7" t="s">
        <v>416</v>
      </c>
      <c r="D114" s="9"/>
      <c r="E114" s="5"/>
      <c r="F114" s="5"/>
      <c r="G114" s="5"/>
      <c r="H114" s="4" t="s">
        <v>14</v>
      </c>
      <c r="I114" s="5" t="s">
        <v>417</v>
      </c>
    </row>
    <row r="115" spans="1:9" ht="15.75" customHeight="1" x14ac:dyDescent="0.35">
      <c r="A115" s="8" t="s">
        <v>373</v>
      </c>
      <c r="B115" s="4" t="s">
        <v>418</v>
      </c>
      <c r="C115" s="5" t="s">
        <v>419</v>
      </c>
      <c r="D115" s="4">
        <v>1</v>
      </c>
      <c r="E115" s="5" t="s">
        <v>420</v>
      </c>
      <c r="F115" s="5" t="s">
        <v>421</v>
      </c>
      <c r="G115" s="5"/>
      <c r="H115" s="4" t="s">
        <v>14</v>
      </c>
      <c r="I115" s="5" t="s">
        <v>422</v>
      </c>
    </row>
    <row r="116" spans="1:9" ht="15.75" customHeight="1" x14ac:dyDescent="0.35">
      <c r="A116" s="8" t="s">
        <v>373</v>
      </c>
      <c r="B116" s="4" t="s">
        <v>423</v>
      </c>
      <c r="C116" s="5" t="s">
        <v>424</v>
      </c>
      <c r="D116" s="4">
        <v>1</v>
      </c>
      <c r="E116" s="5" t="s">
        <v>425</v>
      </c>
      <c r="F116" s="5" t="s">
        <v>92</v>
      </c>
      <c r="G116" s="5" t="s">
        <v>426</v>
      </c>
      <c r="H116" s="4" t="s">
        <v>14</v>
      </c>
      <c r="I116" s="5" t="s">
        <v>427</v>
      </c>
    </row>
    <row r="117" spans="1:9" ht="15.75" customHeight="1" x14ac:dyDescent="0.35">
      <c r="A117" s="8" t="s">
        <v>373</v>
      </c>
      <c r="B117" s="4" t="s">
        <v>428</v>
      </c>
      <c r="C117" s="5" t="s">
        <v>429</v>
      </c>
      <c r="D117" s="4">
        <v>1</v>
      </c>
      <c r="E117" s="5"/>
      <c r="F117" s="5" t="s">
        <v>92</v>
      </c>
      <c r="G117" s="5" t="s">
        <v>430</v>
      </c>
      <c r="H117" s="4" t="s">
        <v>14</v>
      </c>
      <c r="I117" s="5" t="s">
        <v>431</v>
      </c>
    </row>
    <row r="118" spans="1:9" ht="15.75" customHeight="1" x14ac:dyDescent="0.35">
      <c r="A118" s="8" t="s">
        <v>373</v>
      </c>
      <c r="B118" s="4" t="s">
        <v>432</v>
      </c>
      <c r="C118" s="5" t="s">
        <v>433</v>
      </c>
      <c r="D118" s="4">
        <v>1</v>
      </c>
      <c r="E118" s="5"/>
      <c r="F118" s="5" t="s">
        <v>29</v>
      </c>
      <c r="G118" s="5" t="s">
        <v>434</v>
      </c>
      <c r="H118" s="4" t="s">
        <v>14</v>
      </c>
      <c r="I118" s="5" t="s">
        <v>435</v>
      </c>
    </row>
    <row r="119" spans="1:9" ht="15.75" customHeight="1" x14ac:dyDescent="0.35">
      <c r="A119" s="8" t="s">
        <v>373</v>
      </c>
      <c r="B119" s="4" t="s">
        <v>436</v>
      </c>
      <c r="C119" s="5" t="s">
        <v>437</v>
      </c>
      <c r="D119" s="4">
        <v>1</v>
      </c>
      <c r="E119" s="5"/>
      <c r="F119" s="5" t="s">
        <v>29</v>
      </c>
      <c r="G119" s="5" t="s">
        <v>438</v>
      </c>
      <c r="H119" s="4" t="s">
        <v>14</v>
      </c>
      <c r="I119" s="5" t="s">
        <v>439</v>
      </c>
    </row>
    <row r="120" spans="1:9" ht="15.75" customHeight="1" x14ac:dyDescent="0.35">
      <c r="A120" s="8" t="s">
        <v>373</v>
      </c>
      <c r="B120" s="4" t="s">
        <v>440</v>
      </c>
      <c r="C120" s="5" t="s">
        <v>441</v>
      </c>
      <c r="D120" s="4">
        <v>1</v>
      </c>
      <c r="E120" s="5"/>
      <c r="F120" s="5" t="s">
        <v>29</v>
      </c>
      <c r="G120" s="5" t="s">
        <v>442</v>
      </c>
      <c r="H120" s="4" t="s">
        <v>14</v>
      </c>
      <c r="I120" s="5" t="s">
        <v>443</v>
      </c>
    </row>
    <row r="121" spans="1:9" ht="15.75" customHeight="1" x14ac:dyDescent="0.35">
      <c r="A121" s="8" t="s">
        <v>373</v>
      </c>
      <c r="B121" s="4" t="s">
        <v>444</v>
      </c>
      <c r="C121" s="5" t="s">
        <v>445</v>
      </c>
      <c r="D121" s="4">
        <v>1</v>
      </c>
      <c r="E121" s="5"/>
      <c r="F121" s="5" t="s">
        <v>29</v>
      </c>
      <c r="G121" s="5" t="s">
        <v>446</v>
      </c>
      <c r="H121" s="4" t="s">
        <v>14</v>
      </c>
      <c r="I121" s="5" t="s">
        <v>447</v>
      </c>
    </row>
    <row r="122" spans="1:9" ht="15.75" customHeight="1" x14ac:dyDescent="0.35">
      <c r="A122" s="8" t="s">
        <v>373</v>
      </c>
      <c r="B122" s="4" t="s">
        <v>448</v>
      </c>
      <c r="C122" s="5" t="s">
        <v>449</v>
      </c>
      <c r="D122" s="4">
        <v>1</v>
      </c>
      <c r="E122" s="5"/>
      <c r="F122" s="5" t="s">
        <v>29</v>
      </c>
      <c r="G122" s="5" t="s">
        <v>450</v>
      </c>
      <c r="H122" s="4" t="s">
        <v>14</v>
      </c>
      <c r="I122" s="5" t="s">
        <v>451</v>
      </c>
    </row>
    <row r="123" spans="1:9" ht="15.75" customHeight="1" x14ac:dyDescent="0.35">
      <c r="A123" s="8" t="s">
        <v>373</v>
      </c>
      <c r="B123" s="4" t="s">
        <v>452</v>
      </c>
      <c r="C123" s="5" t="s">
        <v>453</v>
      </c>
      <c r="D123" s="4">
        <v>1</v>
      </c>
      <c r="E123" s="5"/>
      <c r="F123" s="5" t="s">
        <v>29</v>
      </c>
      <c r="G123" s="5" t="s">
        <v>454</v>
      </c>
      <c r="H123" s="4" t="s">
        <v>455</v>
      </c>
      <c r="I123" s="5" t="s">
        <v>456</v>
      </c>
    </row>
    <row r="124" spans="1:9" ht="15.75" customHeight="1" x14ac:dyDescent="0.35">
      <c r="A124" s="8" t="s">
        <v>373</v>
      </c>
      <c r="B124" s="4" t="s">
        <v>457</v>
      </c>
      <c r="C124" s="5" t="s">
        <v>458</v>
      </c>
      <c r="D124" s="4">
        <v>1</v>
      </c>
      <c r="E124" s="5"/>
      <c r="F124" s="5" t="s">
        <v>29</v>
      </c>
      <c r="G124" s="5" t="s">
        <v>459</v>
      </c>
      <c r="H124" s="4" t="s">
        <v>14</v>
      </c>
      <c r="I124" s="5" t="s">
        <v>460</v>
      </c>
    </row>
    <row r="125" spans="1:9" ht="15.75" customHeight="1" x14ac:dyDescent="0.35">
      <c r="A125" s="8" t="s">
        <v>373</v>
      </c>
      <c r="B125" s="4" t="s">
        <v>461</v>
      </c>
      <c r="C125" s="5" t="s">
        <v>462</v>
      </c>
      <c r="D125" s="4">
        <v>1</v>
      </c>
      <c r="E125" s="5"/>
      <c r="F125" s="5" t="s">
        <v>29</v>
      </c>
      <c r="G125" s="5" t="s">
        <v>463</v>
      </c>
      <c r="H125" s="4" t="s">
        <v>14</v>
      </c>
      <c r="I125" s="5" t="s">
        <v>464</v>
      </c>
    </row>
    <row r="126" spans="1:9" ht="15.75" customHeight="1" x14ac:dyDescent="0.35">
      <c r="A126" s="8" t="s">
        <v>373</v>
      </c>
      <c r="B126" s="4" t="s">
        <v>465</v>
      </c>
      <c r="C126" s="5" t="s">
        <v>466</v>
      </c>
      <c r="D126" s="4">
        <v>1</v>
      </c>
      <c r="E126" s="5" t="s">
        <v>467</v>
      </c>
      <c r="F126" s="5" t="s">
        <v>468</v>
      </c>
      <c r="G126" s="5" t="s">
        <v>469</v>
      </c>
      <c r="H126" s="4" t="s">
        <v>24</v>
      </c>
      <c r="I126" s="5" t="s">
        <v>470</v>
      </c>
    </row>
    <row r="127" spans="1:9" ht="15.75" customHeight="1" x14ac:dyDescent="0.35">
      <c r="A127" s="8" t="s">
        <v>373</v>
      </c>
      <c r="B127" s="4" t="s">
        <v>471</v>
      </c>
      <c r="C127" s="5" t="s">
        <v>472</v>
      </c>
      <c r="D127" s="4">
        <v>1</v>
      </c>
      <c r="E127" s="5"/>
      <c r="F127" s="5" t="s">
        <v>29</v>
      </c>
      <c r="G127" s="5" t="s">
        <v>473</v>
      </c>
      <c r="H127" s="4" t="s">
        <v>14</v>
      </c>
      <c r="I127" s="5" t="s">
        <v>474</v>
      </c>
    </row>
    <row r="128" spans="1:9" ht="15.75" customHeight="1" x14ac:dyDescent="0.35">
      <c r="A128" s="8" t="s">
        <v>373</v>
      </c>
      <c r="B128" s="4" t="s">
        <v>475</v>
      </c>
      <c r="C128" s="5" t="s">
        <v>476</v>
      </c>
      <c r="D128" s="4">
        <v>1</v>
      </c>
      <c r="E128" s="5"/>
      <c r="F128" s="5" t="s">
        <v>29</v>
      </c>
      <c r="G128" s="5" t="s">
        <v>477</v>
      </c>
      <c r="H128" s="4" t="s">
        <v>14</v>
      </c>
      <c r="I128" s="5" t="s">
        <v>478</v>
      </c>
    </row>
    <row r="129" spans="1:9" ht="15.75" customHeight="1" x14ac:dyDescent="0.35">
      <c r="A129" s="8" t="s">
        <v>373</v>
      </c>
      <c r="B129" s="4" t="s">
        <v>479</v>
      </c>
      <c r="C129" s="5" t="s">
        <v>480</v>
      </c>
      <c r="D129" s="21">
        <v>1</v>
      </c>
      <c r="E129" s="5"/>
      <c r="F129" s="5" t="s">
        <v>40</v>
      </c>
      <c r="G129" s="5"/>
      <c r="H129" s="4" t="s">
        <v>14</v>
      </c>
      <c r="I129" s="5" t="s">
        <v>481</v>
      </c>
    </row>
    <row r="130" spans="1:9" ht="15.75" customHeight="1" x14ac:dyDescent="0.35">
      <c r="A130" s="8" t="s">
        <v>373</v>
      </c>
      <c r="B130" s="4" t="s">
        <v>482</v>
      </c>
      <c r="C130" s="5" t="s">
        <v>483</v>
      </c>
      <c r="D130" s="9"/>
      <c r="E130" s="5"/>
      <c r="F130" s="5"/>
      <c r="G130" s="5"/>
      <c r="H130" s="4" t="s">
        <v>14</v>
      </c>
      <c r="I130" s="5" t="s">
        <v>484</v>
      </c>
    </row>
    <row r="131" spans="1:9" ht="15.75" customHeight="1" x14ac:dyDescent="0.35">
      <c r="A131" s="8" t="s">
        <v>373</v>
      </c>
      <c r="B131" s="4" t="s">
        <v>485</v>
      </c>
      <c r="C131" s="5" t="s">
        <v>486</v>
      </c>
      <c r="D131" s="4">
        <v>1</v>
      </c>
      <c r="E131" s="5"/>
      <c r="F131" s="5" t="s">
        <v>40</v>
      </c>
      <c r="G131" s="5"/>
      <c r="H131" s="4" t="s">
        <v>14</v>
      </c>
      <c r="I131" s="5" t="s">
        <v>487</v>
      </c>
    </row>
    <row r="132" spans="1:9" ht="15.75" customHeight="1" x14ac:dyDescent="0.35">
      <c r="A132" s="8" t="s">
        <v>373</v>
      </c>
      <c r="B132" s="4" t="s">
        <v>488</v>
      </c>
      <c r="C132" s="5" t="s">
        <v>489</v>
      </c>
      <c r="D132" s="4">
        <v>1</v>
      </c>
      <c r="E132" s="5"/>
      <c r="F132" s="5" t="s">
        <v>29</v>
      </c>
      <c r="G132" s="5" t="s">
        <v>490</v>
      </c>
      <c r="H132" s="4" t="s">
        <v>14</v>
      </c>
      <c r="I132" s="5" t="s">
        <v>491</v>
      </c>
    </row>
    <row r="133" spans="1:9" ht="15.75" customHeight="1" x14ac:dyDescent="0.35">
      <c r="A133" s="8" t="s">
        <v>373</v>
      </c>
      <c r="B133" s="4" t="s">
        <v>492</v>
      </c>
      <c r="C133" s="5" t="s">
        <v>493</v>
      </c>
      <c r="D133" s="21">
        <v>1</v>
      </c>
      <c r="E133" s="5"/>
      <c r="F133" s="5" t="s">
        <v>29</v>
      </c>
      <c r="G133" s="5" t="s">
        <v>494</v>
      </c>
      <c r="H133" s="4" t="s">
        <v>14</v>
      </c>
      <c r="I133" s="5" t="s">
        <v>495</v>
      </c>
    </row>
    <row r="134" spans="1:9" ht="15.75" customHeight="1" x14ac:dyDescent="0.35">
      <c r="A134" s="8" t="s">
        <v>373</v>
      </c>
      <c r="B134" s="4" t="s">
        <v>496</v>
      </c>
      <c r="C134" s="5" t="s">
        <v>497</v>
      </c>
      <c r="D134" s="9"/>
      <c r="E134" s="5"/>
      <c r="F134" s="5"/>
      <c r="G134" s="5"/>
      <c r="H134" s="4" t="s">
        <v>14</v>
      </c>
      <c r="I134" s="5" t="s">
        <v>498</v>
      </c>
    </row>
    <row r="135" spans="1:9" ht="15.75" customHeight="1" x14ac:dyDescent="0.35">
      <c r="A135" s="8" t="s">
        <v>373</v>
      </c>
      <c r="B135" s="4" t="s">
        <v>499</v>
      </c>
      <c r="C135" s="5" t="s">
        <v>500</v>
      </c>
      <c r="D135" s="4">
        <v>1</v>
      </c>
      <c r="E135" s="5"/>
      <c r="F135" s="5" t="s">
        <v>40</v>
      </c>
      <c r="G135" s="5"/>
      <c r="H135" s="4" t="s">
        <v>14</v>
      </c>
      <c r="I135" s="5" t="s">
        <v>501</v>
      </c>
    </row>
    <row r="136" spans="1:9" ht="15.75" customHeight="1" x14ac:dyDescent="0.35">
      <c r="A136" s="8" t="s">
        <v>373</v>
      </c>
      <c r="B136" s="4" t="s">
        <v>502</v>
      </c>
      <c r="C136" s="5" t="s">
        <v>503</v>
      </c>
      <c r="D136" s="4">
        <v>0</v>
      </c>
      <c r="E136" s="5"/>
      <c r="F136" s="5" t="s">
        <v>19</v>
      </c>
      <c r="G136" s="5"/>
      <c r="H136" s="4" t="s">
        <v>49</v>
      </c>
      <c r="I136" s="5" t="s">
        <v>504</v>
      </c>
    </row>
    <row r="137" spans="1:9" ht="15.75" customHeight="1" x14ac:dyDescent="0.35">
      <c r="A137" s="8" t="s">
        <v>373</v>
      </c>
      <c r="B137" s="4" t="s">
        <v>505</v>
      </c>
      <c r="C137" s="5" t="s">
        <v>506</v>
      </c>
      <c r="D137" s="9"/>
      <c r="E137" s="5"/>
      <c r="F137" s="5"/>
      <c r="G137" s="5"/>
      <c r="H137" s="4" t="s">
        <v>14</v>
      </c>
      <c r="I137" s="5" t="s">
        <v>507</v>
      </c>
    </row>
    <row r="138" spans="1:9" ht="15.75" customHeight="1" x14ac:dyDescent="0.35">
      <c r="A138" s="8" t="s">
        <v>373</v>
      </c>
      <c r="B138" s="4" t="s">
        <v>508</v>
      </c>
      <c r="C138" s="5" t="s">
        <v>509</v>
      </c>
      <c r="D138" s="4">
        <v>1</v>
      </c>
      <c r="E138" s="5"/>
      <c r="F138" s="5" t="s">
        <v>29</v>
      </c>
      <c r="G138" s="5" t="s">
        <v>510</v>
      </c>
      <c r="H138" s="4" t="s">
        <v>14</v>
      </c>
      <c r="I138" s="5" t="s">
        <v>511</v>
      </c>
    </row>
    <row r="139" spans="1:9" ht="15.75" customHeight="1" x14ac:dyDescent="0.35">
      <c r="A139" s="8" t="s">
        <v>373</v>
      </c>
      <c r="B139" s="4" t="s">
        <v>512</v>
      </c>
      <c r="C139" s="5" t="s">
        <v>513</v>
      </c>
      <c r="D139" s="4">
        <v>0</v>
      </c>
      <c r="E139" s="5"/>
      <c r="F139" s="5" t="s">
        <v>77</v>
      </c>
      <c r="G139" s="5"/>
      <c r="H139" s="4" t="s">
        <v>455</v>
      </c>
      <c r="I139" s="5" t="s">
        <v>512</v>
      </c>
    </row>
    <row r="140" spans="1:9" ht="15.75" customHeight="1" x14ac:dyDescent="0.35">
      <c r="A140" s="8" t="s">
        <v>373</v>
      </c>
      <c r="B140" s="4" t="s">
        <v>514</v>
      </c>
      <c r="C140" s="5" t="s">
        <v>515</v>
      </c>
      <c r="D140" s="4">
        <v>1</v>
      </c>
      <c r="E140" s="5"/>
      <c r="F140" s="5" t="s">
        <v>29</v>
      </c>
      <c r="G140" s="5" t="s">
        <v>516</v>
      </c>
      <c r="H140" s="4" t="s">
        <v>14</v>
      </c>
      <c r="I140" s="5" t="s">
        <v>517</v>
      </c>
    </row>
    <row r="141" spans="1:9" ht="15.75" customHeight="1" x14ac:dyDescent="0.35">
      <c r="A141" s="8" t="s">
        <v>373</v>
      </c>
      <c r="B141" s="4" t="s">
        <v>518</v>
      </c>
      <c r="C141" s="5" t="s">
        <v>519</v>
      </c>
      <c r="D141" s="9"/>
      <c r="E141" s="5"/>
      <c r="F141" s="5"/>
      <c r="G141" s="5"/>
      <c r="H141" s="4" t="s">
        <v>455</v>
      </c>
      <c r="I141" s="5" t="s">
        <v>520</v>
      </c>
    </row>
    <row r="142" spans="1:9" ht="15.75" customHeight="1" x14ac:dyDescent="0.35">
      <c r="A142" s="8" t="s">
        <v>373</v>
      </c>
      <c r="B142" s="4" t="s">
        <v>521</v>
      </c>
      <c r="C142" s="5" t="s">
        <v>522</v>
      </c>
      <c r="D142" s="4">
        <v>1</v>
      </c>
      <c r="E142" s="5"/>
      <c r="F142" s="5" t="s">
        <v>40</v>
      </c>
      <c r="G142" s="5"/>
      <c r="H142" s="4" t="s">
        <v>455</v>
      </c>
      <c r="I142" s="5" t="s">
        <v>523</v>
      </c>
    </row>
    <row r="143" spans="1:9" ht="15.75" customHeight="1" x14ac:dyDescent="0.35">
      <c r="A143" s="8" t="s">
        <v>373</v>
      </c>
      <c r="B143" s="4" t="s">
        <v>524</v>
      </c>
      <c r="C143" s="5" t="s">
        <v>525</v>
      </c>
      <c r="D143" s="21">
        <v>0</v>
      </c>
      <c r="E143" s="5"/>
      <c r="F143" s="5" t="s">
        <v>77</v>
      </c>
      <c r="G143" s="5"/>
      <c r="H143" s="4" t="s">
        <v>14</v>
      </c>
      <c r="I143" s="5" t="s">
        <v>526</v>
      </c>
    </row>
    <row r="144" spans="1:9" ht="15.75" customHeight="1" x14ac:dyDescent="0.35">
      <c r="A144" s="8" t="s">
        <v>373</v>
      </c>
      <c r="B144" s="4" t="s">
        <v>527</v>
      </c>
      <c r="C144" s="5" t="s">
        <v>528</v>
      </c>
      <c r="D144" s="21">
        <v>1</v>
      </c>
      <c r="E144" s="5"/>
      <c r="F144" s="5" t="s">
        <v>29</v>
      </c>
      <c r="G144" s="5" t="s">
        <v>529</v>
      </c>
      <c r="H144" s="4" t="s">
        <v>455</v>
      </c>
      <c r="I144" s="5" t="s">
        <v>530</v>
      </c>
    </row>
    <row r="145" spans="1:9" ht="15.75" customHeight="1" x14ac:dyDescent="0.35">
      <c r="A145" s="8" t="s">
        <v>373</v>
      </c>
      <c r="B145" s="4" t="s">
        <v>531</v>
      </c>
      <c r="C145" s="5" t="s">
        <v>532</v>
      </c>
      <c r="D145" s="4">
        <v>1</v>
      </c>
      <c r="E145" s="5"/>
      <c r="F145" s="5" t="s">
        <v>40</v>
      </c>
      <c r="G145" s="5"/>
      <c r="H145" s="4" t="s">
        <v>455</v>
      </c>
      <c r="I145" s="5" t="s">
        <v>533</v>
      </c>
    </row>
    <row r="146" spans="1:9" ht="15.75" customHeight="1" x14ac:dyDescent="0.35">
      <c r="A146" s="8" t="s">
        <v>373</v>
      </c>
      <c r="B146" s="4" t="s">
        <v>534</v>
      </c>
      <c r="C146" s="5" t="s">
        <v>535</v>
      </c>
      <c r="D146" s="9"/>
      <c r="E146" s="5"/>
      <c r="F146" s="5"/>
      <c r="G146" s="5"/>
      <c r="H146" s="4" t="s">
        <v>14</v>
      </c>
      <c r="I146" s="5" t="s">
        <v>536</v>
      </c>
    </row>
    <row r="147" spans="1:9" ht="15.75" customHeight="1" x14ac:dyDescent="0.35">
      <c r="A147" s="8" t="s">
        <v>373</v>
      </c>
      <c r="B147" s="4" t="s">
        <v>537</v>
      </c>
      <c r="C147" s="5" t="s">
        <v>538</v>
      </c>
      <c r="D147" s="9"/>
      <c r="E147" s="5"/>
      <c r="F147" s="5"/>
      <c r="G147" s="5"/>
      <c r="H147" s="4" t="s">
        <v>14</v>
      </c>
      <c r="I147" s="5" t="s">
        <v>539</v>
      </c>
    </row>
    <row r="148" spans="1:9" ht="15.75" customHeight="1" x14ac:dyDescent="0.35">
      <c r="A148" s="8" t="s">
        <v>373</v>
      </c>
      <c r="B148" s="4" t="s">
        <v>113</v>
      </c>
      <c r="C148" s="5" t="s">
        <v>540</v>
      </c>
      <c r="D148" s="21">
        <v>1</v>
      </c>
      <c r="E148" s="5"/>
      <c r="F148" s="5" t="s">
        <v>40</v>
      </c>
      <c r="G148" s="5"/>
      <c r="H148" s="4" t="s">
        <v>14</v>
      </c>
      <c r="I148" s="5" t="s">
        <v>541</v>
      </c>
    </row>
    <row r="149" spans="1:9" ht="15.75" customHeight="1" x14ac:dyDescent="0.35">
      <c r="A149" s="8" t="s">
        <v>373</v>
      </c>
      <c r="B149" s="4" t="s">
        <v>542</v>
      </c>
      <c r="C149" s="5" t="s">
        <v>543</v>
      </c>
      <c r="D149" s="4">
        <v>1</v>
      </c>
      <c r="E149" s="5"/>
      <c r="F149" s="5" t="s">
        <v>29</v>
      </c>
      <c r="G149" s="5" t="s">
        <v>544</v>
      </c>
      <c r="H149" s="4" t="s">
        <v>14</v>
      </c>
      <c r="I149" s="5" t="s">
        <v>545</v>
      </c>
    </row>
    <row r="150" spans="1:9" ht="15.75" customHeight="1" x14ac:dyDescent="0.35">
      <c r="A150" s="8" t="s">
        <v>373</v>
      </c>
      <c r="B150" s="4" t="s">
        <v>546</v>
      </c>
      <c r="C150" s="5" t="s">
        <v>547</v>
      </c>
      <c r="D150" s="4">
        <v>1</v>
      </c>
      <c r="E150" s="5" t="s">
        <v>548</v>
      </c>
      <c r="F150" s="5" t="s">
        <v>35</v>
      </c>
      <c r="G150" s="5"/>
      <c r="H150" s="4" t="s">
        <v>49</v>
      </c>
      <c r="I150" s="5" t="s">
        <v>549</v>
      </c>
    </row>
    <row r="151" spans="1:9" ht="15.75" customHeight="1" x14ac:dyDescent="0.35">
      <c r="A151" s="8" t="s">
        <v>373</v>
      </c>
      <c r="B151" s="4" t="s">
        <v>550</v>
      </c>
      <c r="C151" s="5" t="s">
        <v>551</v>
      </c>
      <c r="D151" s="4">
        <v>1</v>
      </c>
      <c r="E151" s="5"/>
      <c r="F151" s="5" t="s">
        <v>29</v>
      </c>
      <c r="G151" s="5" t="s">
        <v>552</v>
      </c>
      <c r="H151" s="4" t="s">
        <v>14</v>
      </c>
      <c r="I151" s="5" t="s">
        <v>553</v>
      </c>
    </row>
    <row r="152" spans="1:9" ht="15.75" customHeight="1" x14ac:dyDescent="0.35">
      <c r="A152" s="8" t="s">
        <v>373</v>
      </c>
      <c r="B152" s="4" t="s">
        <v>554</v>
      </c>
      <c r="C152" s="5" t="s">
        <v>555</v>
      </c>
      <c r="D152" s="4">
        <v>0</v>
      </c>
      <c r="E152" s="5"/>
      <c r="F152" s="5" t="s">
        <v>77</v>
      </c>
      <c r="G152" s="5"/>
      <c r="H152" s="4" t="s">
        <v>14</v>
      </c>
      <c r="I152" s="5" t="s">
        <v>554</v>
      </c>
    </row>
    <row r="153" spans="1:9" ht="15.75" customHeight="1" x14ac:dyDescent="0.35">
      <c r="A153" s="8" t="s">
        <v>373</v>
      </c>
      <c r="B153" s="4" t="s">
        <v>556</v>
      </c>
      <c r="C153" s="5" t="s">
        <v>557</v>
      </c>
      <c r="D153" s="4">
        <v>1</v>
      </c>
      <c r="E153" s="5"/>
      <c r="F153" s="5" t="s">
        <v>29</v>
      </c>
      <c r="G153" s="5" t="s">
        <v>558</v>
      </c>
      <c r="H153" s="4" t="s">
        <v>14</v>
      </c>
      <c r="I153" s="5" t="s">
        <v>559</v>
      </c>
    </row>
    <row r="154" spans="1:9" ht="15.75" customHeight="1" x14ac:dyDescent="0.35">
      <c r="A154" s="8" t="s">
        <v>373</v>
      </c>
      <c r="B154" s="4" t="s">
        <v>560</v>
      </c>
      <c r="C154" s="5" t="s">
        <v>561</v>
      </c>
      <c r="D154" s="4">
        <v>1</v>
      </c>
      <c r="E154" s="5"/>
      <c r="F154" s="5" t="s">
        <v>40</v>
      </c>
      <c r="G154" s="5"/>
      <c r="H154" s="4" t="s">
        <v>49</v>
      </c>
      <c r="I154" s="5" t="s">
        <v>562</v>
      </c>
    </row>
    <row r="155" spans="1:9" ht="15.75" customHeight="1" x14ac:dyDescent="0.35">
      <c r="A155" s="8" t="s">
        <v>373</v>
      </c>
      <c r="B155" s="4" t="s">
        <v>563</v>
      </c>
      <c r="C155" s="5" t="s">
        <v>564</v>
      </c>
      <c r="D155" s="4">
        <v>1</v>
      </c>
      <c r="E155" s="5"/>
      <c r="F155" s="5" t="s">
        <v>274</v>
      </c>
      <c r="G155" s="5" t="s">
        <v>565</v>
      </c>
      <c r="H155" s="4" t="s">
        <v>566</v>
      </c>
      <c r="I155" s="5" t="s">
        <v>567</v>
      </c>
    </row>
    <row r="156" spans="1:9" ht="15.75" customHeight="1" x14ac:dyDescent="0.35">
      <c r="A156" s="8" t="s">
        <v>373</v>
      </c>
      <c r="B156" s="4" t="s">
        <v>568</v>
      </c>
      <c r="C156" s="5" t="s">
        <v>569</v>
      </c>
      <c r="D156" s="4">
        <v>1</v>
      </c>
      <c r="E156" s="5"/>
      <c r="F156" s="5" t="s">
        <v>29</v>
      </c>
      <c r="G156" s="5" t="s">
        <v>570</v>
      </c>
      <c r="H156" s="4" t="s">
        <v>14</v>
      </c>
      <c r="I156" s="5" t="s">
        <v>571</v>
      </c>
    </row>
    <row r="157" spans="1:9" ht="15.75" customHeight="1" x14ac:dyDescent="0.35">
      <c r="A157" s="8" t="s">
        <v>373</v>
      </c>
      <c r="B157" s="4" t="s">
        <v>572</v>
      </c>
      <c r="C157" s="5" t="s">
        <v>573</v>
      </c>
      <c r="D157" s="4">
        <v>1</v>
      </c>
      <c r="E157" s="5"/>
      <c r="F157" s="5" t="s">
        <v>29</v>
      </c>
      <c r="G157" s="5" t="s">
        <v>574</v>
      </c>
      <c r="H157" s="4" t="s">
        <v>14</v>
      </c>
      <c r="I157" s="5" t="s">
        <v>236</v>
      </c>
    </row>
    <row r="158" spans="1:9" ht="15.75" customHeight="1" x14ac:dyDescent="0.35">
      <c r="A158" s="8" t="s">
        <v>373</v>
      </c>
      <c r="B158" s="4" t="s">
        <v>575</v>
      </c>
      <c r="C158" s="5" t="s">
        <v>576</v>
      </c>
      <c r="D158" s="4">
        <v>1</v>
      </c>
      <c r="E158" s="5"/>
      <c r="F158" s="5" t="s">
        <v>40</v>
      </c>
      <c r="G158" s="5"/>
      <c r="H158" s="4" t="s">
        <v>14</v>
      </c>
      <c r="I158" s="5" t="s">
        <v>577</v>
      </c>
    </row>
    <row r="159" spans="1:9" ht="15.75" customHeight="1" x14ac:dyDescent="0.35">
      <c r="A159" s="8" t="s">
        <v>373</v>
      </c>
      <c r="B159" s="4" t="s">
        <v>578</v>
      </c>
      <c r="C159" s="5" t="s">
        <v>579</v>
      </c>
      <c r="D159" s="9"/>
      <c r="E159" s="5"/>
      <c r="F159" s="5"/>
      <c r="G159" s="5"/>
      <c r="H159" s="4" t="s">
        <v>14</v>
      </c>
      <c r="I159" s="5" t="s">
        <v>580</v>
      </c>
    </row>
    <row r="160" spans="1:9" ht="15.75" customHeight="1" x14ac:dyDescent="0.35">
      <c r="A160" s="8" t="s">
        <v>373</v>
      </c>
      <c r="B160" s="4" t="s">
        <v>581</v>
      </c>
      <c r="C160" s="5" t="s">
        <v>582</v>
      </c>
      <c r="D160" s="4">
        <v>1</v>
      </c>
      <c r="E160" s="5"/>
      <c r="F160" s="5" t="s">
        <v>40</v>
      </c>
      <c r="G160" s="5"/>
      <c r="H160" s="4" t="s">
        <v>14</v>
      </c>
      <c r="I160" s="5" t="s">
        <v>583</v>
      </c>
    </row>
    <row r="161" spans="1:9" ht="15.75" customHeight="1" x14ac:dyDescent="0.35">
      <c r="A161" s="8" t="s">
        <v>373</v>
      </c>
      <c r="B161" s="4" t="s">
        <v>584</v>
      </c>
      <c r="C161" s="5" t="s">
        <v>585</v>
      </c>
      <c r="D161" s="4">
        <v>1</v>
      </c>
      <c r="E161" s="5"/>
      <c r="F161" s="5" t="s">
        <v>29</v>
      </c>
      <c r="G161" s="5" t="s">
        <v>586</v>
      </c>
      <c r="H161" s="4" t="s">
        <v>14</v>
      </c>
      <c r="I161" s="5" t="s">
        <v>587</v>
      </c>
    </row>
    <row r="162" spans="1:9" ht="15.75" customHeight="1" x14ac:dyDescent="0.35">
      <c r="A162" s="8" t="s">
        <v>373</v>
      </c>
      <c r="B162" s="4" t="s">
        <v>588</v>
      </c>
      <c r="C162" s="5" t="s">
        <v>589</v>
      </c>
      <c r="D162" s="4">
        <v>1</v>
      </c>
      <c r="E162" s="5"/>
      <c r="F162" s="5" t="s">
        <v>29</v>
      </c>
      <c r="G162" s="5" t="s">
        <v>590</v>
      </c>
      <c r="H162" s="4" t="s">
        <v>14</v>
      </c>
      <c r="I162" s="5" t="s">
        <v>591</v>
      </c>
    </row>
    <row r="163" spans="1:9" ht="15.75" customHeight="1" x14ac:dyDescent="0.35">
      <c r="A163" s="8" t="s">
        <v>373</v>
      </c>
      <c r="B163" s="4" t="s">
        <v>592</v>
      </c>
      <c r="C163" s="5" t="s">
        <v>593</v>
      </c>
      <c r="D163" s="4">
        <v>1</v>
      </c>
      <c r="E163" s="5"/>
      <c r="F163" s="5" t="s">
        <v>40</v>
      </c>
      <c r="G163" s="5"/>
      <c r="H163" s="4" t="s">
        <v>14</v>
      </c>
      <c r="I163" s="5" t="s">
        <v>594</v>
      </c>
    </row>
    <row r="164" spans="1:9" ht="15.75" customHeight="1" x14ac:dyDescent="0.35">
      <c r="A164" s="8" t="s">
        <v>373</v>
      </c>
      <c r="B164" s="4" t="s">
        <v>595</v>
      </c>
      <c r="C164" s="5" t="s">
        <v>596</v>
      </c>
      <c r="D164" s="4">
        <v>1</v>
      </c>
      <c r="E164" s="5"/>
      <c r="F164" s="5" t="s">
        <v>40</v>
      </c>
      <c r="G164" s="5"/>
      <c r="H164" s="4" t="s">
        <v>14</v>
      </c>
      <c r="I164" s="5" t="s">
        <v>597</v>
      </c>
    </row>
    <row r="165" spans="1:9" ht="15.75" customHeight="1" x14ac:dyDescent="0.35">
      <c r="A165" s="8" t="s">
        <v>373</v>
      </c>
      <c r="B165" s="4" t="s">
        <v>598</v>
      </c>
      <c r="C165" s="5" t="s">
        <v>599</v>
      </c>
      <c r="D165" s="4">
        <v>1</v>
      </c>
      <c r="E165" s="5" t="s">
        <v>600</v>
      </c>
      <c r="F165" s="5" t="s">
        <v>29</v>
      </c>
      <c r="G165" s="5" t="s">
        <v>601</v>
      </c>
      <c r="H165" s="4" t="s">
        <v>14</v>
      </c>
      <c r="I165" s="5" t="s">
        <v>602</v>
      </c>
    </row>
    <row r="166" spans="1:9" ht="15.75" customHeight="1" x14ac:dyDescent="0.35">
      <c r="A166" s="8" t="s">
        <v>373</v>
      </c>
      <c r="B166" s="4" t="s">
        <v>603</v>
      </c>
      <c r="C166" s="5" t="s">
        <v>604</v>
      </c>
      <c r="D166" s="4">
        <v>1</v>
      </c>
      <c r="E166" s="5"/>
      <c r="F166" s="5" t="s">
        <v>29</v>
      </c>
      <c r="G166" s="5" t="s">
        <v>605</v>
      </c>
      <c r="H166" s="4" t="s">
        <v>14</v>
      </c>
      <c r="I166" s="5" t="s">
        <v>606</v>
      </c>
    </row>
    <row r="167" spans="1:9" ht="15.75" customHeight="1" x14ac:dyDescent="0.35">
      <c r="A167" s="8" t="s">
        <v>373</v>
      </c>
      <c r="B167" s="4" t="s">
        <v>607</v>
      </c>
      <c r="C167" s="5" t="s">
        <v>608</v>
      </c>
      <c r="D167" s="4">
        <v>1</v>
      </c>
      <c r="E167" s="5" t="s">
        <v>609</v>
      </c>
      <c r="F167" s="5" t="s">
        <v>92</v>
      </c>
      <c r="G167" s="5" t="s">
        <v>610</v>
      </c>
      <c r="H167" s="4" t="s">
        <v>14</v>
      </c>
      <c r="I167" s="5" t="s">
        <v>611</v>
      </c>
    </row>
    <row r="168" spans="1:9" ht="15.75" customHeight="1" x14ac:dyDescent="0.35">
      <c r="A168" s="8" t="s">
        <v>373</v>
      </c>
      <c r="B168" s="4" t="s">
        <v>612</v>
      </c>
      <c r="C168" s="5" t="s">
        <v>613</v>
      </c>
      <c r="D168" s="4">
        <v>1</v>
      </c>
      <c r="E168" s="5" t="s">
        <v>614</v>
      </c>
      <c r="F168" s="5" t="s">
        <v>40</v>
      </c>
      <c r="G168" s="5" t="s">
        <v>615</v>
      </c>
      <c r="H168" s="4" t="s">
        <v>14</v>
      </c>
      <c r="I168" s="5" t="s">
        <v>616</v>
      </c>
    </row>
    <row r="169" spans="1:9" ht="15.75" customHeight="1" x14ac:dyDescent="0.35">
      <c r="A169" s="8" t="s">
        <v>373</v>
      </c>
      <c r="B169" s="4" t="s">
        <v>617</v>
      </c>
      <c r="C169" s="5" t="s">
        <v>618</v>
      </c>
      <c r="D169" s="9"/>
      <c r="E169" s="5"/>
      <c r="F169" s="5"/>
      <c r="G169" s="5"/>
      <c r="H169" s="4" t="s">
        <v>14</v>
      </c>
      <c r="I169" s="5" t="s">
        <v>619</v>
      </c>
    </row>
    <row r="170" spans="1:9" ht="15.75" customHeight="1" x14ac:dyDescent="0.35">
      <c r="A170" s="8" t="s">
        <v>373</v>
      </c>
      <c r="B170" s="4" t="s">
        <v>620</v>
      </c>
      <c r="C170" s="5" t="s">
        <v>621</v>
      </c>
      <c r="D170" s="4">
        <v>1</v>
      </c>
      <c r="E170" s="5"/>
      <c r="F170" s="5" t="s">
        <v>29</v>
      </c>
      <c r="G170" s="5" t="s">
        <v>622</v>
      </c>
      <c r="H170" s="4" t="s">
        <v>14</v>
      </c>
      <c r="I170" s="5" t="s">
        <v>623</v>
      </c>
    </row>
    <row r="171" spans="1:9" ht="15.75" customHeight="1" x14ac:dyDescent="0.35">
      <c r="A171" s="8" t="s">
        <v>373</v>
      </c>
      <c r="B171" s="4" t="s">
        <v>624</v>
      </c>
      <c r="C171" s="5" t="s">
        <v>625</v>
      </c>
      <c r="D171" s="21">
        <v>1</v>
      </c>
      <c r="E171" s="5"/>
      <c r="F171" s="5" t="s">
        <v>29</v>
      </c>
      <c r="G171" s="5" t="s">
        <v>626</v>
      </c>
      <c r="H171" s="4" t="s">
        <v>14</v>
      </c>
      <c r="I171" s="5" t="s">
        <v>627</v>
      </c>
    </row>
    <row r="172" spans="1:9" ht="15.75" customHeight="1" x14ac:dyDescent="0.35">
      <c r="A172" s="8" t="s">
        <v>373</v>
      </c>
      <c r="B172" s="4" t="s">
        <v>628</v>
      </c>
      <c r="C172" s="5" t="s">
        <v>629</v>
      </c>
      <c r="E172" s="5"/>
      <c r="F172" s="5"/>
      <c r="G172" s="5"/>
      <c r="H172" s="4" t="s">
        <v>14</v>
      </c>
      <c r="I172" s="5" t="s">
        <v>630</v>
      </c>
    </row>
    <row r="173" spans="1:9" ht="15.75" customHeight="1" x14ac:dyDescent="0.35">
      <c r="A173" s="8" t="s">
        <v>373</v>
      </c>
      <c r="B173" s="4" t="s">
        <v>631</v>
      </c>
      <c r="C173" s="5" t="s">
        <v>632</v>
      </c>
      <c r="D173" s="4">
        <v>1</v>
      </c>
      <c r="E173" s="5"/>
      <c r="F173" s="5" t="s">
        <v>40</v>
      </c>
      <c r="G173" s="5"/>
      <c r="H173" s="4" t="s">
        <v>14</v>
      </c>
      <c r="I173" s="5" t="s">
        <v>511</v>
      </c>
    </row>
    <row r="174" spans="1:9" ht="15.75" customHeight="1" x14ac:dyDescent="0.35">
      <c r="A174" s="8" t="s">
        <v>373</v>
      </c>
      <c r="B174" s="4" t="s">
        <v>633</v>
      </c>
      <c r="C174" s="5" t="s">
        <v>634</v>
      </c>
      <c r="D174" s="4">
        <v>1</v>
      </c>
      <c r="E174" s="5" t="s">
        <v>635</v>
      </c>
      <c r="F174" s="5" t="s">
        <v>274</v>
      </c>
      <c r="G174" s="5" t="s">
        <v>636</v>
      </c>
      <c r="H174" s="4" t="s">
        <v>566</v>
      </c>
      <c r="I174" s="5" t="s">
        <v>637</v>
      </c>
    </row>
    <row r="175" spans="1:9" ht="15.75" customHeight="1" x14ac:dyDescent="0.35">
      <c r="A175" s="8" t="s">
        <v>373</v>
      </c>
      <c r="B175" s="4" t="s">
        <v>638</v>
      </c>
      <c r="C175" s="5" t="s">
        <v>639</v>
      </c>
      <c r="D175" s="4">
        <v>1</v>
      </c>
      <c r="E175" s="5"/>
      <c r="F175" s="5" t="s">
        <v>40</v>
      </c>
      <c r="G175" s="5"/>
      <c r="H175" s="4" t="s">
        <v>14</v>
      </c>
      <c r="I175" s="5" t="s">
        <v>640</v>
      </c>
    </row>
    <row r="176" spans="1:9" ht="15.75" customHeight="1" x14ac:dyDescent="0.35">
      <c r="A176" s="8" t="s">
        <v>373</v>
      </c>
      <c r="B176" s="4" t="s">
        <v>641</v>
      </c>
      <c r="C176" s="5" t="s">
        <v>642</v>
      </c>
      <c r="D176" s="4">
        <v>1</v>
      </c>
      <c r="E176" s="5"/>
      <c r="F176" s="5" t="s">
        <v>274</v>
      </c>
      <c r="G176" s="5" t="s">
        <v>643</v>
      </c>
      <c r="H176" s="4" t="s">
        <v>14</v>
      </c>
      <c r="I176" s="5" t="s">
        <v>644</v>
      </c>
    </row>
    <row r="177" spans="1:9" ht="15.75" customHeight="1" x14ac:dyDescent="0.35">
      <c r="A177" s="8" t="s">
        <v>373</v>
      </c>
      <c r="B177" s="4" t="s">
        <v>645</v>
      </c>
      <c r="C177" s="5" t="s">
        <v>646</v>
      </c>
      <c r="D177" s="4">
        <v>1</v>
      </c>
      <c r="E177" s="5" t="s">
        <v>647</v>
      </c>
      <c r="F177" s="5" t="s">
        <v>92</v>
      </c>
      <c r="G177" s="5" t="s">
        <v>648</v>
      </c>
      <c r="H177" s="4" t="s">
        <v>14</v>
      </c>
      <c r="I177" s="5" t="s">
        <v>649</v>
      </c>
    </row>
    <row r="178" spans="1:9" ht="15.75" customHeight="1" x14ac:dyDescent="0.35">
      <c r="A178" s="8" t="s">
        <v>373</v>
      </c>
      <c r="B178" s="4" t="s">
        <v>650</v>
      </c>
      <c r="C178" s="5" t="s">
        <v>651</v>
      </c>
      <c r="D178" s="4">
        <v>1</v>
      </c>
      <c r="E178" s="5" t="s">
        <v>652</v>
      </c>
      <c r="F178" s="5" t="s">
        <v>92</v>
      </c>
      <c r="G178" s="5" t="s">
        <v>653</v>
      </c>
      <c r="H178" s="4" t="s">
        <v>14</v>
      </c>
      <c r="I178" s="5" t="s">
        <v>654</v>
      </c>
    </row>
    <row r="179" spans="1:9" ht="15.75" customHeight="1" x14ac:dyDescent="0.35">
      <c r="A179" s="8" t="s">
        <v>373</v>
      </c>
      <c r="B179" s="4" t="s">
        <v>655</v>
      </c>
      <c r="C179" s="5" t="s">
        <v>656</v>
      </c>
      <c r="D179" s="9"/>
      <c r="E179" s="5"/>
      <c r="F179" s="5"/>
      <c r="G179" s="5"/>
      <c r="H179" s="4" t="s">
        <v>14</v>
      </c>
      <c r="I179" s="5" t="s">
        <v>657</v>
      </c>
    </row>
    <row r="180" spans="1:9" ht="15.75" customHeight="1" x14ac:dyDescent="0.35">
      <c r="A180" s="8" t="s">
        <v>373</v>
      </c>
      <c r="B180" s="4" t="s">
        <v>658</v>
      </c>
      <c r="C180" s="5" t="s">
        <v>659</v>
      </c>
      <c r="D180" s="4">
        <v>0</v>
      </c>
      <c r="E180" s="5"/>
      <c r="F180" s="5" t="s">
        <v>77</v>
      </c>
      <c r="G180" s="5"/>
      <c r="H180" s="4" t="s">
        <v>24</v>
      </c>
      <c r="I180" s="5" t="s">
        <v>660</v>
      </c>
    </row>
    <row r="181" spans="1:9" ht="15.75" customHeight="1" x14ac:dyDescent="0.35">
      <c r="A181" s="8" t="s">
        <v>373</v>
      </c>
      <c r="B181" s="4" t="s">
        <v>661</v>
      </c>
      <c r="C181" s="5" t="s">
        <v>662</v>
      </c>
      <c r="D181" s="4">
        <v>1</v>
      </c>
      <c r="E181" s="5" t="s">
        <v>663</v>
      </c>
      <c r="F181" s="5" t="s">
        <v>92</v>
      </c>
      <c r="G181" s="5" t="s">
        <v>664</v>
      </c>
      <c r="H181" s="4" t="s">
        <v>14</v>
      </c>
      <c r="I181" s="5" t="s">
        <v>665</v>
      </c>
    </row>
    <row r="182" spans="1:9" ht="15.75" customHeight="1" x14ac:dyDescent="0.35">
      <c r="A182" s="8" t="s">
        <v>373</v>
      </c>
      <c r="B182" s="4" t="s">
        <v>666</v>
      </c>
      <c r="C182" s="5" t="s">
        <v>667</v>
      </c>
      <c r="D182" s="9"/>
      <c r="E182" s="5"/>
      <c r="F182" s="5"/>
      <c r="G182" s="5"/>
      <c r="H182" s="4" t="s">
        <v>14</v>
      </c>
      <c r="I182" s="5" t="s">
        <v>668</v>
      </c>
    </row>
    <row r="183" spans="1:9" ht="15.75" customHeight="1" x14ac:dyDescent="0.35">
      <c r="A183" s="8" t="s">
        <v>373</v>
      </c>
      <c r="B183" s="4" t="s">
        <v>669</v>
      </c>
      <c r="C183" s="5" t="s">
        <v>670</v>
      </c>
      <c r="D183" s="4">
        <v>0</v>
      </c>
      <c r="E183" s="5"/>
      <c r="F183" s="5" t="s">
        <v>84</v>
      </c>
      <c r="G183" s="5"/>
      <c r="H183" s="4" t="s">
        <v>566</v>
      </c>
      <c r="I183" s="5" t="s">
        <v>671</v>
      </c>
    </row>
    <row r="184" spans="1:9" ht="15.75" customHeight="1" x14ac:dyDescent="0.35">
      <c r="A184" s="8" t="s">
        <v>373</v>
      </c>
      <c r="B184" s="4" t="s">
        <v>672</v>
      </c>
      <c r="C184" s="5" t="s">
        <v>673</v>
      </c>
      <c r="D184" s="9"/>
      <c r="E184" s="5"/>
      <c r="F184" s="5"/>
      <c r="G184" s="5"/>
      <c r="H184" s="4" t="s">
        <v>14</v>
      </c>
      <c r="I184" s="5" t="s">
        <v>674</v>
      </c>
    </row>
    <row r="185" spans="1:9" ht="15.75" customHeight="1" x14ac:dyDescent="0.35">
      <c r="A185" s="8" t="s">
        <v>373</v>
      </c>
      <c r="B185" s="4" t="s">
        <v>675</v>
      </c>
      <c r="C185" s="5" t="s">
        <v>676</v>
      </c>
      <c r="D185" s="4">
        <v>1</v>
      </c>
      <c r="E185" s="5"/>
      <c r="F185" s="5" t="s">
        <v>29</v>
      </c>
      <c r="G185" s="5" t="s">
        <v>677</v>
      </c>
      <c r="H185" s="4" t="s">
        <v>14</v>
      </c>
      <c r="I185" s="5" t="s">
        <v>678</v>
      </c>
    </row>
    <row r="186" spans="1:9" ht="15.75" customHeight="1" x14ac:dyDescent="0.35">
      <c r="A186" s="8" t="s">
        <v>373</v>
      </c>
      <c r="B186" s="4" t="s">
        <v>679</v>
      </c>
      <c r="C186" s="5" t="s">
        <v>680</v>
      </c>
      <c r="D186" s="21">
        <v>1</v>
      </c>
      <c r="E186" s="5" t="s">
        <v>681</v>
      </c>
      <c r="F186" s="5" t="s">
        <v>29</v>
      </c>
      <c r="G186" s="5" t="s">
        <v>682</v>
      </c>
      <c r="H186" s="4" t="s">
        <v>14</v>
      </c>
      <c r="I186" s="5" t="s">
        <v>683</v>
      </c>
    </row>
    <row r="187" spans="1:9" ht="15.75" customHeight="1" x14ac:dyDescent="0.35">
      <c r="A187" s="8" t="s">
        <v>373</v>
      </c>
      <c r="B187" s="4" t="s">
        <v>684</v>
      </c>
      <c r="C187" s="5" t="s">
        <v>685</v>
      </c>
      <c r="D187" s="4">
        <v>1</v>
      </c>
      <c r="E187" s="5"/>
      <c r="F187" s="5" t="s">
        <v>29</v>
      </c>
      <c r="G187" s="5" t="s">
        <v>686</v>
      </c>
      <c r="H187" s="4" t="s">
        <v>14</v>
      </c>
      <c r="I187" s="5" t="s">
        <v>687</v>
      </c>
    </row>
    <row r="188" spans="1:9" ht="15.75" customHeight="1" x14ac:dyDescent="0.35">
      <c r="A188" s="8" t="s">
        <v>373</v>
      </c>
      <c r="B188" s="4" t="s">
        <v>185</v>
      </c>
      <c r="C188" s="5" t="s">
        <v>688</v>
      </c>
      <c r="D188" s="4">
        <v>0</v>
      </c>
      <c r="E188" s="5"/>
      <c r="F188" s="5" t="s">
        <v>77</v>
      </c>
      <c r="G188" s="5"/>
      <c r="H188" s="4" t="s">
        <v>49</v>
      </c>
      <c r="I188" s="5" t="s">
        <v>689</v>
      </c>
    </row>
    <row r="189" spans="1:9" ht="15.75" customHeight="1" x14ac:dyDescent="0.35">
      <c r="A189" s="8" t="s">
        <v>373</v>
      </c>
      <c r="B189" s="4" t="s">
        <v>690</v>
      </c>
      <c r="C189" s="5" t="s">
        <v>691</v>
      </c>
      <c r="D189" s="4">
        <v>1</v>
      </c>
      <c r="E189" s="5" t="s">
        <v>692</v>
      </c>
      <c r="F189" s="5" t="s">
        <v>29</v>
      </c>
      <c r="G189" s="5" t="s">
        <v>693</v>
      </c>
      <c r="H189" s="4" t="s">
        <v>14</v>
      </c>
      <c r="I189" s="5" t="s">
        <v>694</v>
      </c>
    </row>
    <row r="190" spans="1:9" ht="15.75" customHeight="1" x14ac:dyDescent="0.35">
      <c r="A190" s="8" t="s">
        <v>373</v>
      </c>
      <c r="B190" s="4" t="s">
        <v>695</v>
      </c>
      <c r="C190" s="5" t="s">
        <v>696</v>
      </c>
      <c r="D190" s="4">
        <v>0</v>
      </c>
      <c r="E190" s="5"/>
      <c r="F190" s="5" t="s">
        <v>77</v>
      </c>
      <c r="G190" s="5"/>
      <c r="H190" s="4" t="s">
        <v>14</v>
      </c>
      <c r="I190" s="5" t="s">
        <v>697</v>
      </c>
    </row>
    <row r="191" spans="1:9" ht="15.75" customHeight="1" x14ac:dyDescent="0.35">
      <c r="A191" s="8" t="s">
        <v>373</v>
      </c>
      <c r="B191" s="4" t="s">
        <v>698</v>
      </c>
      <c r="C191" s="5" t="s">
        <v>699</v>
      </c>
      <c r="D191" s="4">
        <v>1</v>
      </c>
      <c r="E191" s="5"/>
      <c r="F191" s="5" t="s">
        <v>29</v>
      </c>
      <c r="G191" s="5" t="s">
        <v>700</v>
      </c>
      <c r="H191" s="4" t="s">
        <v>14</v>
      </c>
      <c r="I191" s="5" t="s">
        <v>701</v>
      </c>
    </row>
    <row r="192" spans="1:9" ht="15.75" customHeight="1" x14ac:dyDescent="0.35">
      <c r="A192" s="8" t="s">
        <v>373</v>
      </c>
      <c r="B192" s="4" t="s">
        <v>702</v>
      </c>
      <c r="C192" s="5" t="s">
        <v>703</v>
      </c>
      <c r="D192" s="4">
        <v>1</v>
      </c>
      <c r="E192" s="5"/>
      <c r="F192" s="5" t="s">
        <v>29</v>
      </c>
      <c r="G192" s="5" t="s">
        <v>704</v>
      </c>
      <c r="H192" s="4" t="s">
        <v>14</v>
      </c>
      <c r="I192" s="5" t="s">
        <v>705</v>
      </c>
    </row>
    <row r="193" spans="1:9" ht="15.75" customHeight="1" x14ac:dyDescent="0.35">
      <c r="A193" s="8" t="s">
        <v>373</v>
      </c>
      <c r="B193" s="4" t="s">
        <v>706</v>
      </c>
      <c r="C193" s="5" t="s">
        <v>707</v>
      </c>
      <c r="D193" s="4">
        <v>1</v>
      </c>
      <c r="E193" s="5" t="s">
        <v>708</v>
      </c>
      <c r="F193" s="5" t="s">
        <v>92</v>
      </c>
      <c r="G193" s="5" t="s">
        <v>709</v>
      </c>
      <c r="H193" s="4" t="s">
        <v>14</v>
      </c>
      <c r="I193" s="5" t="s">
        <v>710</v>
      </c>
    </row>
    <row r="194" spans="1:9" ht="15.75" customHeight="1" x14ac:dyDescent="0.35">
      <c r="A194" s="8" t="s">
        <v>373</v>
      </c>
      <c r="B194" s="4" t="s">
        <v>711</v>
      </c>
      <c r="C194" s="5" t="s">
        <v>712</v>
      </c>
      <c r="D194" s="4">
        <v>1</v>
      </c>
      <c r="E194" s="5"/>
      <c r="F194" s="5" t="s">
        <v>40</v>
      </c>
      <c r="G194" s="5"/>
      <c r="H194" s="4" t="s">
        <v>14</v>
      </c>
      <c r="I194" s="5">
        <v>1600</v>
      </c>
    </row>
    <row r="195" spans="1:9" ht="15.75" customHeight="1" x14ac:dyDescent="0.35">
      <c r="A195" s="8" t="s">
        <v>373</v>
      </c>
      <c r="B195" s="4" t="s">
        <v>713</v>
      </c>
      <c r="C195" s="5" t="s">
        <v>714</v>
      </c>
      <c r="D195" s="4">
        <v>1</v>
      </c>
      <c r="E195" s="5"/>
      <c r="F195" s="5" t="s">
        <v>29</v>
      </c>
      <c r="G195" s="5" t="s">
        <v>715</v>
      </c>
      <c r="H195" s="4" t="s">
        <v>14</v>
      </c>
      <c r="I195" s="5" t="s">
        <v>716</v>
      </c>
    </row>
    <row r="196" spans="1:9" ht="15.75" customHeight="1" x14ac:dyDescent="0.35">
      <c r="A196" s="8" t="s">
        <v>373</v>
      </c>
      <c r="B196" s="4" t="s">
        <v>717</v>
      </c>
      <c r="C196" s="5" t="s">
        <v>718</v>
      </c>
      <c r="D196" s="4">
        <v>1</v>
      </c>
      <c r="E196" s="5"/>
      <c r="F196" s="5" t="s">
        <v>29</v>
      </c>
      <c r="G196" s="5" t="s">
        <v>719</v>
      </c>
      <c r="H196" s="4" t="s">
        <v>14</v>
      </c>
      <c r="I196" s="5" t="s">
        <v>720</v>
      </c>
    </row>
    <row r="197" spans="1:9" ht="15.75" customHeight="1" x14ac:dyDescent="0.35">
      <c r="A197" s="8" t="s">
        <v>373</v>
      </c>
      <c r="B197" s="4" t="s">
        <v>721</v>
      </c>
      <c r="C197" s="5" t="s">
        <v>722</v>
      </c>
      <c r="D197" s="4">
        <v>1</v>
      </c>
      <c r="E197" s="5"/>
      <c r="F197" s="5" t="s">
        <v>29</v>
      </c>
      <c r="G197" s="5" t="s">
        <v>723</v>
      </c>
      <c r="H197" s="4" t="s">
        <v>14</v>
      </c>
      <c r="I197" s="5" t="s">
        <v>724</v>
      </c>
    </row>
    <row r="198" spans="1:9" ht="15.75" customHeight="1" x14ac:dyDescent="0.35">
      <c r="A198" s="8" t="s">
        <v>373</v>
      </c>
      <c r="B198" s="4" t="s">
        <v>725</v>
      </c>
      <c r="C198" s="5" t="s">
        <v>726</v>
      </c>
      <c r="D198" s="4">
        <v>1</v>
      </c>
      <c r="E198" s="5"/>
      <c r="F198" s="5" t="s">
        <v>29</v>
      </c>
      <c r="G198" s="5" t="s">
        <v>727</v>
      </c>
      <c r="H198" s="4" t="s">
        <v>14</v>
      </c>
      <c r="I198" s="5" t="s">
        <v>728</v>
      </c>
    </row>
    <row r="199" spans="1:9" ht="15.75" customHeight="1" x14ac:dyDescent="0.35">
      <c r="A199" s="8" t="s">
        <v>373</v>
      </c>
      <c r="B199" s="4" t="s">
        <v>729</v>
      </c>
      <c r="C199" s="5" t="s">
        <v>730</v>
      </c>
      <c r="D199" s="4">
        <v>1</v>
      </c>
      <c r="E199" s="5"/>
      <c r="F199" s="5" t="s">
        <v>40</v>
      </c>
      <c r="G199" s="5"/>
      <c r="H199" s="4" t="s">
        <v>14</v>
      </c>
      <c r="I199" s="5" t="s">
        <v>731</v>
      </c>
    </row>
    <row r="200" spans="1:9" ht="15.75" customHeight="1" x14ac:dyDescent="0.35">
      <c r="A200" s="8" t="s">
        <v>373</v>
      </c>
      <c r="B200" s="4" t="s">
        <v>732</v>
      </c>
      <c r="C200" s="5" t="s">
        <v>733</v>
      </c>
      <c r="E200" s="5"/>
      <c r="F200" s="5"/>
      <c r="G200" s="5"/>
      <c r="H200" s="4" t="s">
        <v>14</v>
      </c>
      <c r="I200" s="5" t="s">
        <v>734</v>
      </c>
    </row>
    <row r="201" spans="1:9" ht="15.75" customHeight="1" x14ac:dyDescent="0.35">
      <c r="A201" s="8" t="s">
        <v>373</v>
      </c>
      <c r="B201" s="4" t="s">
        <v>735</v>
      </c>
      <c r="C201" s="5" t="s">
        <v>736</v>
      </c>
      <c r="D201" s="21">
        <v>0</v>
      </c>
      <c r="E201" s="5"/>
      <c r="F201" s="5" t="s">
        <v>77</v>
      </c>
      <c r="G201" s="5"/>
      <c r="H201" s="4" t="s">
        <v>14</v>
      </c>
      <c r="I201" s="5" t="s">
        <v>735</v>
      </c>
    </row>
    <row r="202" spans="1:9" ht="15.75" customHeight="1" x14ac:dyDescent="0.35">
      <c r="A202" s="10" t="s">
        <v>737</v>
      </c>
      <c r="B202" s="4" t="s">
        <v>738</v>
      </c>
      <c r="C202" s="5" t="s">
        <v>739</v>
      </c>
      <c r="D202" s="11"/>
      <c r="E202" s="5"/>
      <c r="F202" s="5" t="s">
        <v>740</v>
      </c>
      <c r="G202" s="5" t="s">
        <v>741</v>
      </c>
      <c r="H202" s="4" t="s">
        <v>24</v>
      </c>
      <c r="I202" s="5" t="s">
        <v>742</v>
      </c>
    </row>
    <row r="203" spans="1:9" ht="15.75" customHeight="1" x14ac:dyDescent="0.35">
      <c r="A203" s="10" t="s">
        <v>737</v>
      </c>
      <c r="B203" s="4" t="s">
        <v>743</v>
      </c>
      <c r="C203" s="5" t="s">
        <v>744</v>
      </c>
      <c r="D203" s="4">
        <v>1</v>
      </c>
      <c r="E203" s="5"/>
      <c r="F203" s="5" t="s">
        <v>745</v>
      </c>
      <c r="G203" s="5" t="s">
        <v>746</v>
      </c>
      <c r="H203" s="4" t="s">
        <v>24</v>
      </c>
      <c r="I203" s="5" t="s">
        <v>747</v>
      </c>
    </row>
    <row r="204" spans="1:9" ht="15.75" customHeight="1" x14ac:dyDescent="0.35">
      <c r="A204" s="10" t="s">
        <v>737</v>
      </c>
      <c r="B204" s="4" t="s">
        <v>47</v>
      </c>
      <c r="C204" s="5" t="s">
        <v>748</v>
      </c>
      <c r="D204" s="4">
        <v>1</v>
      </c>
      <c r="E204" s="5"/>
      <c r="F204" s="5" t="s">
        <v>40</v>
      </c>
      <c r="G204" s="5"/>
      <c r="H204" s="4" t="s">
        <v>749</v>
      </c>
      <c r="I204" s="5" t="s">
        <v>750</v>
      </c>
    </row>
    <row r="205" spans="1:9" ht="15.75" customHeight="1" x14ac:dyDescent="0.35">
      <c r="A205" s="10" t="s">
        <v>737</v>
      </c>
      <c r="B205" s="4" t="s">
        <v>751</v>
      </c>
      <c r="C205" s="5" t="s">
        <v>752</v>
      </c>
      <c r="D205" s="11"/>
      <c r="E205" s="5"/>
      <c r="F205" s="5" t="s">
        <v>740</v>
      </c>
      <c r="G205" s="5"/>
      <c r="H205" s="4" t="s">
        <v>455</v>
      </c>
      <c r="I205" s="5" t="s">
        <v>753</v>
      </c>
    </row>
    <row r="206" spans="1:9" ht="15.75" customHeight="1" x14ac:dyDescent="0.35">
      <c r="A206" s="10" t="s">
        <v>737</v>
      </c>
      <c r="B206" s="4" t="s">
        <v>754</v>
      </c>
      <c r="C206" s="5" t="s">
        <v>755</v>
      </c>
      <c r="D206" s="11"/>
      <c r="E206" s="5"/>
      <c r="F206" s="5" t="s">
        <v>740</v>
      </c>
      <c r="G206" s="5"/>
      <c r="H206" s="4" t="s">
        <v>24</v>
      </c>
      <c r="I206" s="5" t="s">
        <v>756</v>
      </c>
    </row>
    <row r="207" spans="1:9" ht="15.75" customHeight="1" x14ac:dyDescent="0.35">
      <c r="A207" s="10" t="s">
        <v>737</v>
      </c>
      <c r="B207" s="4" t="s">
        <v>757</v>
      </c>
      <c r="C207" s="5" t="s">
        <v>758</v>
      </c>
      <c r="D207" s="11"/>
      <c r="E207" s="5"/>
      <c r="F207" s="5" t="s">
        <v>740</v>
      </c>
      <c r="G207" s="5" t="s">
        <v>759</v>
      </c>
      <c r="H207" s="4" t="s">
        <v>455</v>
      </c>
      <c r="I207" s="5" t="s">
        <v>757</v>
      </c>
    </row>
    <row r="208" spans="1:9" ht="15.75" customHeight="1" x14ac:dyDescent="0.35">
      <c r="A208" s="10" t="s">
        <v>737</v>
      </c>
      <c r="B208" s="4" t="s">
        <v>760</v>
      </c>
      <c r="C208" s="5" t="s">
        <v>761</v>
      </c>
      <c r="D208" s="20"/>
      <c r="E208" s="5"/>
      <c r="F208" s="5"/>
      <c r="G208" s="5"/>
      <c r="H208" s="4" t="s">
        <v>455</v>
      </c>
      <c r="I208" s="5" t="s">
        <v>762</v>
      </c>
    </row>
    <row r="209" spans="1:9" ht="15.75" customHeight="1" x14ac:dyDescent="0.35">
      <c r="A209" s="10" t="s">
        <v>737</v>
      </c>
      <c r="B209" s="4" t="s">
        <v>763</v>
      </c>
      <c r="C209" s="5" t="s">
        <v>764</v>
      </c>
      <c r="D209" s="4">
        <v>1</v>
      </c>
      <c r="E209" s="5"/>
      <c r="F209" s="5" t="s">
        <v>745</v>
      </c>
      <c r="G209" s="5" t="s">
        <v>765</v>
      </c>
      <c r="H209" s="4" t="s">
        <v>24</v>
      </c>
      <c r="I209" s="5" t="s">
        <v>766</v>
      </c>
    </row>
    <row r="210" spans="1:9" ht="15.75" customHeight="1" x14ac:dyDescent="0.35">
      <c r="A210" s="10" t="s">
        <v>737</v>
      </c>
      <c r="B210" s="4" t="s">
        <v>767</v>
      </c>
      <c r="C210" s="5" t="s">
        <v>768</v>
      </c>
      <c r="D210" s="4">
        <v>1</v>
      </c>
      <c r="E210" s="5"/>
      <c r="F210" s="5" t="s">
        <v>745</v>
      </c>
      <c r="G210" s="5" t="s">
        <v>765</v>
      </c>
      <c r="H210" s="4" t="s">
        <v>455</v>
      </c>
      <c r="I210" s="5" t="s">
        <v>769</v>
      </c>
    </row>
    <row r="211" spans="1:9" ht="15.75" customHeight="1" x14ac:dyDescent="0.35">
      <c r="A211" s="10" t="s">
        <v>737</v>
      </c>
      <c r="B211" s="4" t="s">
        <v>770</v>
      </c>
      <c r="C211" s="5" t="s">
        <v>771</v>
      </c>
      <c r="D211" s="4">
        <v>1</v>
      </c>
      <c r="E211" s="5" t="s">
        <v>772</v>
      </c>
      <c r="F211" s="5" t="s">
        <v>745</v>
      </c>
      <c r="G211" s="5" t="s">
        <v>773</v>
      </c>
      <c r="H211" s="4" t="s">
        <v>24</v>
      </c>
      <c r="I211" s="5" t="s">
        <v>774</v>
      </c>
    </row>
    <row r="212" spans="1:9" ht="15.75" customHeight="1" x14ac:dyDescent="0.35">
      <c r="A212" s="10" t="s">
        <v>737</v>
      </c>
      <c r="B212" s="4" t="s">
        <v>775</v>
      </c>
      <c r="C212" s="5" t="s">
        <v>776</v>
      </c>
      <c r="D212" s="4">
        <v>1</v>
      </c>
      <c r="E212" s="5"/>
      <c r="F212" s="5" t="s">
        <v>777</v>
      </c>
      <c r="G212" s="5" t="s">
        <v>778</v>
      </c>
      <c r="H212" s="4" t="s">
        <v>779</v>
      </c>
      <c r="I212" s="5" t="s">
        <v>780</v>
      </c>
    </row>
    <row r="213" spans="1:9" ht="15.75" customHeight="1" x14ac:dyDescent="0.35">
      <c r="A213" s="10" t="s">
        <v>737</v>
      </c>
      <c r="B213" s="4" t="s">
        <v>781</v>
      </c>
      <c r="C213" s="5" t="s">
        <v>782</v>
      </c>
      <c r="D213" s="4">
        <v>1</v>
      </c>
      <c r="E213" s="5"/>
      <c r="F213" s="5" t="s">
        <v>777</v>
      </c>
      <c r="G213" s="5" t="s">
        <v>783</v>
      </c>
      <c r="H213" s="4" t="s">
        <v>455</v>
      </c>
      <c r="I213" s="5" t="s">
        <v>784</v>
      </c>
    </row>
    <row r="214" spans="1:9" ht="15.75" customHeight="1" x14ac:dyDescent="0.35">
      <c r="A214" s="10" t="s">
        <v>737</v>
      </c>
      <c r="B214" s="4" t="s">
        <v>82</v>
      </c>
      <c r="C214" s="5" t="s">
        <v>785</v>
      </c>
      <c r="D214" s="4">
        <v>0</v>
      </c>
      <c r="E214" s="5"/>
      <c r="F214" s="5" t="s">
        <v>77</v>
      </c>
      <c r="G214" s="5"/>
      <c r="H214" s="4" t="s">
        <v>749</v>
      </c>
      <c r="I214" s="5" t="s">
        <v>786</v>
      </c>
    </row>
    <row r="215" spans="1:9" ht="15.75" customHeight="1" x14ac:dyDescent="0.35">
      <c r="A215" s="10" t="s">
        <v>737</v>
      </c>
      <c r="B215" s="4" t="s">
        <v>787</v>
      </c>
      <c r="C215" s="5" t="s">
        <v>788</v>
      </c>
      <c r="D215" s="4">
        <v>1</v>
      </c>
      <c r="E215" s="5"/>
      <c r="F215" s="5" t="s">
        <v>745</v>
      </c>
      <c r="G215" s="5" t="s">
        <v>789</v>
      </c>
      <c r="H215" s="4" t="s">
        <v>24</v>
      </c>
      <c r="I215" s="5" t="s">
        <v>790</v>
      </c>
    </row>
    <row r="216" spans="1:9" ht="15.75" customHeight="1" x14ac:dyDescent="0.35">
      <c r="A216" s="10" t="s">
        <v>737</v>
      </c>
      <c r="B216" s="4" t="s">
        <v>791</v>
      </c>
      <c r="C216" s="5" t="s">
        <v>792</v>
      </c>
      <c r="D216" s="4">
        <v>1</v>
      </c>
      <c r="E216" s="5"/>
      <c r="F216" s="5" t="s">
        <v>745</v>
      </c>
      <c r="G216" s="5" t="s">
        <v>793</v>
      </c>
      <c r="H216" s="4" t="s">
        <v>794</v>
      </c>
      <c r="I216" s="5" t="s">
        <v>795</v>
      </c>
    </row>
    <row r="217" spans="1:9" ht="15.75" customHeight="1" x14ac:dyDescent="0.35">
      <c r="A217" s="10" t="s">
        <v>737</v>
      </c>
      <c r="B217" s="4" t="s">
        <v>796</v>
      </c>
      <c r="C217" s="5" t="s">
        <v>797</v>
      </c>
      <c r="D217" s="4">
        <v>1</v>
      </c>
      <c r="E217" s="5"/>
      <c r="F217" s="5" t="s">
        <v>745</v>
      </c>
      <c r="G217" s="5" t="s">
        <v>798</v>
      </c>
      <c r="H217" s="4" t="s">
        <v>455</v>
      </c>
      <c r="I217" s="5" t="s">
        <v>799</v>
      </c>
    </row>
    <row r="218" spans="1:9" ht="15.75" customHeight="1" x14ac:dyDescent="0.35">
      <c r="A218" s="10" t="s">
        <v>737</v>
      </c>
      <c r="B218" s="4" t="s">
        <v>800</v>
      </c>
      <c r="C218" s="5" t="s">
        <v>801</v>
      </c>
      <c r="D218" s="11"/>
      <c r="E218" s="5"/>
      <c r="F218" s="5" t="s">
        <v>740</v>
      </c>
      <c r="G218" s="5" t="s">
        <v>802</v>
      </c>
      <c r="H218" s="4" t="s">
        <v>24</v>
      </c>
      <c r="I218" s="5" t="s">
        <v>800</v>
      </c>
    </row>
    <row r="219" spans="1:9" ht="15.75" customHeight="1" x14ac:dyDescent="0.35">
      <c r="A219" s="10" t="s">
        <v>737</v>
      </c>
      <c r="B219" s="4" t="s">
        <v>803</v>
      </c>
      <c r="C219" s="5" t="s">
        <v>804</v>
      </c>
      <c r="D219" s="11"/>
      <c r="E219" s="5"/>
      <c r="F219" s="5" t="s">
        <v>740</v>
      </c>
      <c r="G219" s="5" t="s">
        <v>805</v>
      </c>
      <c r="H219" s="4" t="s">
        <v>24</v>
      </c>
      <c r="I219" s="5" t="s">
        <v>806</v>
      </c>
    </row>
    <row r="220" spans="1:9" ht="15.75" customHeight="1" x14ac:dyDescent="0.35">
      <c r="A220" s="10" t="s">
        <v>737</v>
      </c>
      <c r="B220" s="4" t="s">
        <v>807</v>
      </c>
      <c r="C220" s="5" t="s">
        <v>808</v>
      </c>
      <c r="D220" s="4">
        <v>0</v>
      </c>
      <c r="E220" s="5"/>
      <c r="F220" s="5" t="s">
        <v>19</v>
      </c>
      <c r="G220" s="5"/>
      <c r="H220" s="4" t="s">
        <v>749</v>
      </c>
      <c r="I220" s="5" t="s">
        <v>809</v>
      </c>
    </row>
    <row r="221" spans="1:9" ht="15.75" customHeight="1" x14ac:dyDescent="0.35">
      <c r="A221" s="10" t="s">
        <v>737</v>
      </c>
      <c r="B221" s="4" t="s">
        <v>810</v>
      </c>
      <c r="C221" s="5" t="s">
        <v>811</v>
      </c>
      <c r="D221" s="4">
        <v>1</v>
      </c>
      <c r="E221" s="5"/>
      <c r="F221" s="5" t="s">
        <v>745</v>
      </c>
      <c r="G221" s="5" t="s">
        <v>812</v>
      </c>
      <c r="H221" s="4" t="s">
        <v>455</v>
      </c>
      <c r="I221" s="5" t="s">
        <v>813</v>
      </c>
    </row>
    <row r="222" spans="1:9" ht="15.75" customHeight="1" x14ac:dyDescent="0.35">
      <c r="A222" s="10" t="s">
        <v>737</v>
      </c>
      <c r="B222" s="12" t="s">
        <v>814</v>
      </c>
      <c r="C222" s="5" t="s">
        <v>815</v>
      </c>
      <c r="D222" s="4">
        <v>1</v>
      </c>
      <c r="E222" s="5"/>
      <c r="F222" s="5" t="s">
        <v>816</v>
      </c>
      <c r="G222" s="13" t="s">
        <v>817</v>
      </c>
      <c r="H222" s="4" t="s">
        <v>818</v>
      </c>
      <c r="I222" s="5" t="s">
        <v>819</v>
      </c>
    </row>
    <row r="223" spans="1:9" ht="15.75" customHeight="1" x14ac:dyDescent="0.35">
      <c r="A223" s="10" t="s">
        <v>737</v>
      </c>
      <c r="B223" s="4" t="s">
        <v>820</v>
      </c>
      <c r="C223" s="5" t="s">
        <v>821</v>
      </c>
      <c r="D223" s="11"/>
      <c r="E223" s="5"/>
      <c r="F223" s="5" t="s">
        <v>740</v>
      </c>
      <c r="G223" s="5"/>
      <c r="H223" s="4" t="s">
        <v>24</v>
      </c>
      <c r="I223" s="5" t="s">
        <v>822</v>
      </c>
    </row>
    <row r="224" spans="1:9" ht="15.75" customHeight="1" x14ac:dyDescent="0.35">
      <c r="A224" s="10" t="s">
        <v>737</v>
      </c>
      <c r="B224" s="4" t="s">
        <v>823</v>
      </c>
      <c r="C224" s="5" t="s">
        <v>824</v>
      </c>
      <c r="D224" s="11"/>
      <c r="E224" s="5"/>
      <c r="F224" s="5" t="s">
        <v>740</v>
      </c>
      <c r="G224" s="5"/>
      <c r="H224" s="4" t="s">
        <v>24</v>
      </c>
      <c r="I224" s="5" t="s">
        <v>825</v>
      </c>
    </row>
    <row r="225" spans="1:9" ht="15.75" customHeight="1" x14ac:dyDescent="0.35">
      <c r="A225" s="10" t="s">
        <v>737</v>
      </c>
      <c r="B225" s="4" t="s">
        <v>826</v>
      </c>
      <c r="C225" s="5" t="s">
        <v>827</v>
      </c>
      <c r="D225" s="21">
        <v>1</v>
      </c>
      <c r="E225" s="5"/>
      <c r="F225" s="5" t="s">
        <v>745</v>
      </c>
      <c r="G225" s="5" t="s">
        <v>828</v>
      </c>
      <c r="H225" s="4" t="s">
        <v>455</v>
      </c>
      <c r="I225" s="5" t="s">
        <v>829</v>
      </c>
    </row>
    <row r="226" spans="1:9" ht="15.75" customHeight="1" x14ac:dyDescent="0.35">
      <c r="A226" s="10" t="s">
        <v>737</v>
      </c>
      <c r="B226" s="4" t="s">
        <v>830</v>
      </c>
      <c r="C226" s="5" t="s">
        <v>831</v>
      </c>
      <c r="D226" s="4">
        <v>1</v>
      </c>
      <c r="E226" s="5"/>
      <c r="F226" s="5" t="s">
        <v>745</v>
      </c>
      <c r="G226" s="5" t="s">
        <v>832</v>
      </c>
      <c r="H226" s="4" t="s">
        <v>455</v>
      </c>
      <c r="I226" s="5" t="s">
        <v>833</v>
      </c>
    </row>
    <row r="227" spans="1:9" ht="15.75" customHeight="1" x14ac:dyDescent="0.35">
      <c r="A227" s="10" t="s">
        <v>737</v>
      </c>
      <c r="B227" s="4" t="s">
        <v>834</v>
      </c>
      <c r="C227" s="5" t="s">
        <v>835</v>
      </c>
      <c r="D227" s="4">
        <v>1</v>
      </c>
      <c r="E227" s="5"/>
      <c r="F227" s="5" t="s">
        <v>777</v>
      </c>
      <c r="G227" s="5" t="s">
        <v>836</v>
      </c>
      <c r="H227" s="4" t="s">
        <v>455</v>
      </c>
      <c r="I227" s="5" t="s">
        <v>837</v>
      </c>
    </row>
    <row r="228" spans="1:9" ht="15.75" customHeight="1" x14ac:dyDescent="0.35">
      <c r="A228" s="10" t="s">
        <v>737</v>
      </c>
      <c r="B228" s="4" t="s">
        <v>838</v>
      </c>
      <c r="C228" s="5" t="s">
        <v>839</v>
      </c>
      <c r="D228" s="21">
        <v>1</v>
      </c>
      <c r="E228" s="5"/>
      <c r="F228" s="5" t="s">
        <v>777</v>
      </c>
      <c r="G228" s="5" t="s">
        <v>840</v>
      </c>
      <c r="H228" s="4" t="s">
        <v>24</v>
      </c>
      <c r="I228" s="5" t="s">
        <v>841</v>
      </c>
    </row>
    <row r="229" spans="1:9" ht="15.75" customHeight="1" x14ac:dyDescent="0.35">
      <c r="A229" s="10" t="s">
        <v>737</v>
      </c>
      <c r="B229" s="4" t="s">
        <v>842</v>
      </c>
      <c r="C229" s="5" t="s">
        <v>843</v>
      </c>
      <c r="D229" s="4">
        <v>1</v>
      </c>
      <c r="E229" s="5"/>
      <c r="F229" s="5" t="s">
        <v>745</v>
      </c>
      <c r="G229" s="5" t="s">
        <v>560</v>
      </c>
      <c r="H229" s="4" t="s">
        <v>794</v>
      </c>
      <c r="I229" s="5" t="s">
        <v>844</v>
      </c>
    </row>
    <row r="230" spans="1:9" ht="15.75" customHeight="1" x14ac:dyDescent="0.35">
      <c r="A230" s="10" t="s">
        <v>737</v>
      </c>
      <c r="B230" s="4" t="s">
        <v>845</v>
      </c>
      <c r="C230" s="5" t="s">
        <v>846</v>
      </c>
      <c r="D230" s="4">
        <v>1</v>
      </c>
      <c r="E230" s="5"/>
      <c r="F230" s="5" t="s">
        <v>777</v>
      </c>
      <c r="G230" s="5" t="s">
        <v>847</v>
      </c>
      <c r="H230" s="4" t="s">
        <v>24</v>
      </c>
      <c r="I230" s="5" t="s">
        <v>848</v>
      </c>
    </row>
    <row r="231" spans="1:9" ht="15.75" customHeight="1" x14ac:dyDescent="0.35">
      <c r="A231" s="10" t="s">
        <v>737</v>
      </c>
      <c r="B231" s="4" t="s">
        <v>849</v>
      </c>
      <c r="C231" s="5" t="s">
        <v>850</v>
      </c>
      <c r="D231" s="11"/>
      <c r="E231" s="5"/>
      <c r="F231" s="5" t="s">
        <v>740</v>
      </c>
      <c r="G231" s="5" t="s">
        <v>851</v>
      </c>
      <c r="H231" s="4" t="s">
        <v>24</v>
      </c>
      <c r="I231" s="5" t="s">
        <v>852</v>
      </c>
    </row>
    <row r="232" spans="1:9" ht="15.75" customHeight="1" x14ac:dyDescent="0.35">
      <c r="A232" s="10" t="s">
        <v>737</v>
      </c>
      <c r="B232" s="4" t="s">
        <v>853</v>
      </c>
      <c r="C232" s="5" t="s">
        <v>854</v>
      </c>
      <c r="D232" s="11"/>
      <c r="E232" s="5"/>
      <c r="F232" s="5" t="s">
        <v>740</v>
      </c>
      <c r="G232" s="5" t="s">
        <v>855</v>
      </c>
      <c r="H232" s="4" t="s">
        <v>24</v>
      </c>
      <c r="I232" s="5" t="s">
        <v>856</v>
      </c>
    </row>
    <row r="233" spans="1:9" ht="15.75" customHeight="1" x14ac:dyDescent="0.35">
      <c r="A233" s="10" t="s">
        <v>737</v>
      </c>
      <c r="B233" s="4" t="s">
        <v>857</v>
      </c>
      <c r="C233" s="5" t="s">
        <v>858</v>
      </c>
      <c r="D233" s="4">
        <v>1</v>
      </c>
      <c r="E233" s="5"/>
      <c r="F233" s="5" t="s">
        <v>745</v>
      </c>
      <c r="G233" s="5" t="s">
        <v>859</v>
      </c>
      <c r="H233" s="4" t="s">
        <v>455</v>
      </c>
      <c r="I233" s="5" t="s">
        <v>860</v>
      </c>
    </row>
    <row r="234" spans="1:9" ht="15.75" customHeight="1" x14ac:dyDescent="0.35">
      <c r="A234" s="10" t="s">
        <v>737</v>
      </c>
      <c r="B234" s="4" t="s">
        <v>861</v>
      </c>
      <c r="C234" s="5" t="s">
        <v>862</v>
      </c>
      <c r="D234" s="4">
        <v>1</v>
      </c>
      <c r="E234" s="5"/>
      <c r="F234" s="5" t="s">
        <v>745</v>
      </c>
      <c r="G234" s="5" t="s">
        <v>863</v>
      </c>
      <c r="H234" s="4" t="s">
        <v>455</v>
      </c>
      <c r="I234" s="5" t="s">
        <v>864</v>
      </c>
    </row>
    <row r="235" spans="1:9" ht="15.75" customHeight="1" x14ac:dyDescent="0.35">
      <c r="A235" s="10" t="s">
        <v>737</v>
      </c>
      <c r="B235" s="4" t="s">
        <v>865</v>
      </c>
      <c r="C235" s="5" t="s">
        <v>866</v>
      </c>
      <c r="D235" s="4">
        <v>1</v>
      </c>
      <c r="E235" s="5"/>
      <c r="F235" s="5" t="s">
        <v>745</v>
      </c>
      <c r="G235" s="5" t="s">
        <v>867</v>
      </c>
      <c r="H235" s="4" t="s">
        <v>455</v>
      </c>
      <c r="I235" s="5" t="s">
        <v>868</v>
      </c>
    </row>
    <row r="236" spans="1:9" ht="15.75" customHeight="1" x14ac:dyDescent="0.35">
      <c r="A236" s="10" t="s">
        <v>737</v>
      </c>
      <c r="B236" s="4" t="s">
        <v>869</v>
      </c>
      <c r="C236" s="5" t="s">
        <v>870</v>
      </c>
      <c r="D236" s="20"/>
      <c r="E236" s="5"/>
      <c r="F236" s="5" t="s">
        <v>740</v>
      </c>
      <c r="G236" s="5" t="s">
        <v>871</v>
      </c>
      <c r="H236" s="4" t="s">
        <v>24</v>
      </c>
      <c r="I236" s="5" t="s">
        <v>872</v>
      </c>
    </row>
    <row r="237" spans="1:9" ht="15.75" customHeight="1" x14ac:dyDescent="0.35">
      <c r="A237" s="10" t="s">
        <v>737</v>
      </c>
      <c r="B237" s="4" t="s">
        <v>873</v>
      </c>
      <c r="C237" s="5" t="s">
        <v>874</v>
      </c>
      <c r="E237" s="5"/>
      <c r="F237" s="5" t="s">
        <v>740</v>
      </c>
      <c r="G237" s="5" t="s">
        <v>875</v>
      </c>
      <c r="H237" s="4" t="s">
        <v>24</v>
      </c>
      <c r="I237" s="5" t="s">
        <v>876</v>
      </c>
    </row>
    <row r="238" spans="1:9" ht="15.75" customHeight="1" x14ac:dyDescent="0.35">
      <c r="A238" s="10" t="s">
        <v>737</v>
      </c>
      <c r="B238" s="4" t="s">
        <v>877</v>
      </c>
      <c r="C238" s="5" t="s">
        <v>878</v>
      </c>
      <c r="D238" s="4">
        <v>1</v>
      </c>
      <c r="E238" s="5"/>
      <c r="F238" s="5" t="s">
        <v>745</v>
      </c>
      <c r="G238" s="5" t="s">
        <v>879</v>
      </c>
      <c r="H238" s="4" t="s">
        <v>455</v>
      </c>
      <c r="I238" s="5" t="s">
        <v>880</v>
      </c>
    </row>
    <row r="239" spans="1:9" ht="15.75" customHeight="1" x14ac:dyDescent="0.35">
      <c r="A239" s="10" t="s">
        <v>737</v>
      </c>
      <c r="B239" s="4" t="s">
        <v>881</v>
      </c>
      <c r="C239" s="5" t="s">
        <v>882</v>
      </c>
      <c r="E239" s="5"/>
      <c r="F239" s="5" t="s">
        <v>740</v>
      </c>
      <c r="G239" s="5" t="s">
        <v>883</v>
      </c>
      <c r="H239" s="4" t="s">
        <v>24</v>
      </c>
      <c r="I239" s="5" t="s">
        <v>881</v>
      </c>
    </row>
    <row r="240" spans="1:9" ht="15.75" customHeight="1" x14ac:dyDescent="0.35">
      <c r="A240" s="10" t="s">
        <v>737</v>
      </c>
      <c r="B240" s="4" t="s">
        <v>884</v>
      </c>
      <c r="C240" s="5" t="s">
        <v>885</v>
      </c>
      <c r="D240" s="4">
        <v>1</v>
      </c>
      <c r="E240" s="5" t="s">
        <v>886</v>
      </c>
      <c r="F240" s="5"/>
      <c r="G240" s="5" t="s">
        <v>887</v>
      </c>
      <c r="H240" s="4" t="s">
        <v>24</v>
      </c>
      <c r="I240" s="5" t="s">
        <v>888</v>
      </c>
    </row>
    <row r="241" spans="1:9" ht="15.75" customHeight="1" x14ac:dyDescent="0.35">
      <c r="A241" s="10" t="s">
        <v>737</v>
      </c>
      <c r="B241" s="4" t="s">
        <v>889</v>
      </c>
      <c r="C241" s="5" t="s">
        <v>890</v>
      </c>
      <c r="D241" s="4">
        <v>1</v>
      </c>
      <c r="E241" s="5"/>
      <c r="F241" s="5"/>
      <c r="G241" s="5" t="s">
        <v>891</v>
      </c>
      <c r="H241" s="4" t="s">
        <v>779</v>
      </c>
      <c r="I241" s="5" t="s">
        <v>892</v>
      </c>
    </row>
    <row r="242" spans="1:9" ht="15.75" customHeight="1" x14ac:dyDescent="0.35">
      <c r="A242" s="10" t="s">
        <v>737</v>
      </c>
      <c r="B242" s="4" t="s">
        <v>893</v>
      </c>
      <c r="C242" s="5" t="s">
        <v>894</v>
      </c>
      <c r="D242" s="4">
        <v>1</v>
      </c>
      <c r="E242" s="5"/>
      <c r="F242" s="5" t="s">
        <v>777</v>
      </c>
      <c r="G242" s="5" t="s">
        <v>895</v>
      </c>
      <c r="H242" s="4" t="s">
        <v>24</v>
      </c>
      <c r="I242" s="5" t="s">
        <v>896</v>
      </c>
    </row>
    <row r="243" spans="1:9" ht="15.75" customHeight="1" x14ac:dyDescent="0.35">
      <c r="A243" s="10" t="s">
        <v>737</v>
      </c>
      <c r="B243" s="4" t="s">
        <v>897</v>
      </c>
      <c r="C243" s="5" t="s">
        <v>898</v>
      </c>
      <c r="D243" s="11"/>
      <c r="E243" s="5"/>
      <c r="F243" s="5" t="s">
        <v>740</v>
      </c>
      <c r="G243" s="5" t="s">
        <v>899</v>
      </c>
      <c r="H243" s="4" t="s">
        <v>24</v>
      </c>
      <c r="I243" s="5" t="s">
        <v>900</v>
      </c>
    </row>
    <row r="244" spans="1:9" ht="15.75" customHeight="1" x14ac:dyDescent="0.35">
      <c r="A244" s="10" t="s">
        <v>737</v>
      </c>
      <c r="B244" s="4" t="s">
        <v>901</v>
      </c>
      <c r="C244" s="5" t="s">
        <v>902</v>
      </c>
      <c r="D244" s="4">
        <v>1</v>
      </c>
      <c r="E244" s="5"/>
      <c r="F244" s="5" t="s">
        <v>777</v>
      </c>
      <c r="G244" s="5" t="s">
        <v>903</v>
      </c>
      <c r="H244" s="4" t="s">
        <v>455</v>
      </c>
      <c r="I244" s="5" t="s">
        <v>904</v>
      </c>
    </row>
    <row r="245" spans="1:9" ht="15.75" customHeight="1" x14ac:dyDescent="0.35">
      <c r="A245" s="10" t="s">
        <v>737</v>
      </c>
      <c r="B245" s="4" t="s">
        <v>905</v>
      </c>
      <c r="C245" s="5" t="s">
        <v>906</v>
      </c>
      <c r="D245" s="4">
        <v>1</v>
      </c>
      <c r="E245" s="5"/>
      <c r="F245" s="5" t="s">
        <v>745</v>
      </c>
      <c r="G245" s="5" t="s">
        <v>907</v>
      </c>
      <c r="H245" s="4" t="s">
        <v>455</v>
      </c>
      <c r="I245" s="5" t="s">
        <v>908</v>
      </c>
    </row>
    <row r="246" spans="1:9" ht="15.75" customHeight="1" x14ac:dyDescent="0.35">
      <c r="A246" s="10" t="s">
        <v>737</v>
      </c>
      <c r="B246" s="4" t="s">
        <v>909</v>
      </c>
      <c r="C246" s="5" t="s">
        <v>910</v>
      </c>
      <c r="D246" s="11"/>
      <c r="E246" s="5"/>
      <c r="F246" s="5" t="s">
        <v>740</v>
      </c>
      <c r="G246" s="5" t="s">
        <v>911</v>
      </c>
      <c r="H246" s="4" t="s">
        <v>24</v>
      </c>
      <c r="I246" s="5" t="s">
        <v>912</v>
      </c>
    </row>
    <row r="247" spans="1:9" ht="15.75" customHeight="1" x14ac:dyDescent="0.35">
      <c r="A247" s="10" t="s">
        <v>737</v>
      </c>
      <c r="B247" s="4" t="s">
        <v>913</v>
      </c>
      <c r="C247" s="5" t="s">
        <v>914</v>
      </c>
      <c r="D247" s="4">
        <v>1</v>
      </c>
      <c r="E247" s="5"/>
      <c r="F247" s="5" t="s">
        <v>745</v>
      </c>
      <c r="G247" s="5" t="s">
        <v>915</v>
      </c>
      <c r="H247" s="4" t="s">
        <v>455</v>
      </c>
      <c r="I247" s="5" t="s">
        <v>916</v>
      </c>
    </row>
    <row r="248" spans="1:9" ht="15.75" customHeight="1" x14ac:dyDescent="0.35">
      <c r="A248" s="10" t="s">
        <v>737</v>
      </c>
      <c r="B248" s="4" t="s">
        <v>917</v>
      </c>
      <c r="C248" s="5" t="s">
        <v>918</v>
      </c>
      <c r="D248" s="4">
        <v>1</v>
      </c>
      <c r="E248" s="5"/>
      <c r="F248" s="5" t="s">
        <v>745</v>
      </c>
      <c r="G248" s="5" t="s">
        <v>919</v>
      </c>
      <c r="H248" s="4" t="s">
        <v>24</v>
      </c>
      <c r="I248" s="5" t="s">
        <v>920</v>
      </c>
    </row>
    <row r="249" spans="1:9" ht="15.75" customHeight="1" x14ac:dyDescent="0.35">
      <c r="A249" s="10" t="s">
        <v>737</v>
      </c>
      <c r="B249" s="4" t="s">
        <v>921</v>
      </c>
      <c r="C249" s="5" t="s">
        <v>922</v>
      </c>
      <c r="D249" s="4">
        <v>1</v>
      </c>
      <c r="E249" s="5"/>
      <c r="F249" s="5" t="s">
        <v>745</v>
      </c>
      <c r="G249" s="5" t="s">
        <v>923</v>
      </c>
      <c r="H249" s="4" t="s">
        <v>455</v>
      </c>
      <c r="I249" s="5" t="s">
        <v>924</v>
      </c>
    </row>
    <row r="250" spans="1:9" ht="15.75" customHeight="1" x14ac:dyDescent="0.35">
      <c r="A250" s="10" t="s">
        <v>737</v>
      </c>
      <c r="B250" s="4" t="s">
        <v>925</v>
      </c>
      <c r="C250" s="5" t="s">
        <v>926</v>
      </c>
      <c r="D250" s="11"/>
      <c r="E250" s="5"/>
      <c r="F250" s="5" t="s">
        <v>740</v>
      </c>
      <c r="G250" s="5" t="s">
        <v>927</v>
      </c>
      <c r="H250" s="4" t="s">
        <v>455</v>
      </c>
      <c r="I250" s="5" t="s">
        <v>928</v>
      </c>
    </row>
    <row r="251" spans="1:9" ht="15.75" customHeight="1" x14ac:dyDescent="0.35">
      <c r="A251" s="10" t="s">
        <v>737</v>
      </c>
      <c r="B251" s="4" t="s">
        <v>929</v>
      </c>
      <c r="C251" s="5" t="s">
        <v>930</v>
      </c>
      <c r="D251" s="11"/>
      <c r="E251" s="5"/>
      <c r="F251" s="5" t="s">
        <v>740</v>
      </c>
      <c r="G251" s="5" t="s">
        <v>931</v>
      </c>
      <c r="H251" s="4" t="s">
        <v>24</v>
      </c>
      <c r="I251" s="5" t="s">
        <v>932</v>
      </c>
    </row>
    <row r="252" spans="1:9" ht="15.75" customHeight="1" x14ac:dyDescent="0.35">
      <c r="A252" s="10" t="s">
        <v>737</v>
      </c>
      <c r="B252" s="4" t="s">
        <v>933</v>
      </c>
      <c r="C252" s="5" t="s">
        <v>934</v>
      </c>
      <c r="D252" s="4">
        <v>1</v>
      </c>
      <c r="E252" s="5"/>
      <c r="F252" s="5" t="s">
        <v>745</v>
      </c>
      <c r="G252" s="5" t="s">
        <v>935</v>
      </c>
      <c r="H252" s="4" t="s">
        <v>455</v>
      </c>
      <c r="I252" s="5" t="s">
        <v>936</v>
      </c>
    </row>
    <row r="253" spans="1:9" ht="15.75" customHeight="1" x14ac:dyDescent="0.35">
      <c r="A253" s="10" t="s">
        <v>737</v>
      </c>
      <c r="B253" s="4" t="s">
        <v>937</v>
      </c>
      <c r="C253" s="5" t="s">
        <v>938</v>
      </c>
      <c r="D253" s="4">
        <v>1</v>
      </c>
      <c r="E253" s="5"/>
      <c r="F253" s="5" t="s">
        <v>745</v>
      </c>
      <c r="G253" s="5" t="s">
        <v>939</v>
      </c>
      <c r="H253" s="4" t="s">
        <v>24</v>
      </c>
      <c r="I253" s="5" t="s">
        <v>940</v>
      </c>
    </row>
    <row r="254" spans="1:9" ht="15.75" customHeight="1" x14ac:dyDescent="0.35">
      <c r="A254" s="10" t="s">
        <v>737</v>
      </c>
      <c r="B254" s="4" t="s">
        <v>941</v>
      </c>
      <c r="C254" s="5" t="s">
        <v>942</v>
      </c>
      <c r="D254" s="4">
        <v>1</v>
      </c>
      <c r="E254" s="5"/>
      <c r="F254" s="5" t="s">
        <v>745</v>
      </c>
      <c r="G254" s="5" t="s">
        <v>943</v>
      </c>
      <c r="H254" s="4" t="s">
        <v>455</v>
      </c>
      <c r="I254" s="5" t="s">
        <v>944</v>
      </c>
    </row>
    <row r="255" spans="1:9" ht="15.75" customHeight="1" x14ac:dyDescent="0.35">
      <c r="A255" s="10" t="s">
        <v>737</v>
      </c>
      <c r="B255" s="4" t="s">
        <v>945</v>
      </c>
      <c r="C255" s="5" t="s">
        <v>946</v>
      </c>
      <c r="D255" s="4">
        <v>1</v>
      </c>
      <c r="E255" s="5"/>
      <c r="F255" s="5" t="s">
        <v>745</v>
      </c>
      <c r="G255" s="5" t="s">
        <v>947</v>
      </c>
      <c r="H255" s="4" t="s">
        <v>455</v>
      </c>
      <c r="I255" s="5" t="s">
        <v>948</v>
      </c>
    </row>
    <row r="256" spans="1:9" ht="15.75" customHeight="1" x14ac:dyDescent="0.35">
      <c r="A256" s="10" t="s">
        <v>737</v>
      </c>
      <c r="B256" s="4" t="s">
        <v>949</v>
      </c>
      <c r="C256" s="5" t="s">
        <v>950</v>
      </c>
      <c r="D256" s="4">
        <v>1</v>
      </c>
      <c r="E256" s="5"/>
      <c r="F256" s="5" t="s">
        <v>745</v>
      </c>
      <c r="G256" s="5" t="s">
        <v>951</v>
      </c>
      <c r="H256" s="4" t="s">
        <v>24</v>
      </c>
      <c r="I256" s="5" t="s">
        <v>952</v>
      </c>
    </row>
    <row r="257" spans="1:9" ht="15.75" customHeight="1" x14ac:dyDescent="0.35">
      <c r="A257" s="10" t="s">
        <v>737</v>
      </c>
      <c r="B257" s="4" t="s">
        <v>953</v>
      </c>
      <c r="C257" s="5" t="s">
        <v>954</v>
      </c>
      <c r="D257" s="11"/>
      <c r="E257" s="5"/>
      <c r="F257" s="5" t="s">
        <v>740</v>
      </c>
      <c r="G257" s="5" t="s">
        <v>955</v>
      </c>
      <c r="H257" s="4" t="s">
        <v>24</v>
      </c>
      <c r="I257" s="5" t="s">
        <v>956</v>
      </c>
    </row>
    <row r="258" spans="1:9" ht="15.75" customHeight="1" x14ac:dyDescent="0.35">
      <c r="A258" s="10" t="s">
        <v>737</v>
      </c>
      <c r="B258" s="4" t="s">
        <v>218</v>
      </c>
      <c r="C258" s="5" t="s">
        <v>957</v>
      </c>
      <c r="D258" s="4">
        <v>0</v>
      </c>
      <c r="E258" s="5"/>
      <c r="F258" s="5" t="s">
        <v>77</v>
      </c>
      <c r="G258" s="5"/>
      <c r="H258" s="4" t="s">
        <v>749</v>
      </c>
      <c r="I258" s="5" t="s">
        <v>958</v>
      </c>
    </row>
    <row r="259" spans="1:9" ht="15.75" customHeight="1" x14ac:dyDescent="0.35">
      <c r="A259" s="10" t="s">
        <v>737</v>
      </c>
      <c r="B259" s="4" t="s">
        <v>959</v>
      </c>
      <c r="C259" s="5" t="s">
        <v>960</v>
      </c>
      <c r="D259" s="4">
        <v>1</v>
      </c>
      <c r="E259" s="5"/>
      <c r="F259" s="5" t="s">
        <v>745</v>
      </c>
      <c r="G259" s="5" t="s">
        <v>961</v>
      </c>
      <c r="H259" s="4" t="s">
        <v>455</v>
      </c>
      <c r="I259" s="5" t="s">
        <v>962</v>
      </c>
    </row>
    <row r="260" spans="1:9" ht="15.75" customHeight="1" x14ac:dyDescent="0.35">
      <c r="A260" s="10" t="s">
        <v>737</v>
      </c>
      <c r="B260" s="4" t="s">
        <v>963</v>
      </c>
      <c r="C260" s="5" t="s">
        <v>964</v>
      </c>
      <c r="D260" s="11"/>
      <c r="E260" s="5"/>
      <c r="F260" s="5" t="s">
        <v>965</v>
      </c>
      <c r="G260" s="5"/>
      <c r="H260" s="4" t="s">
        <v>794</v>
      </c>
      <c r="I260" s="5" t="s">
        <v>966</v>
      </c>
    </row>
    <row r="261" spans="1:9" ht="15.75" customHeight="1" x14ac:dyDescent="0.35">
      <c r="A261" s="10" t="s">
        <v>737</v>
      </c>
      <c r="B261" s="4" t="s">
        <v>967</v>
      </c>
      <c r="C261" s="5" t="s">
        <v>968</v>
      </c>
      <c r="D261" s="21">
        <v>1</v>
      </c>
      <c r="E261" s="5"/>
      <c r="F261" s="5" t="s">
        <v>745</v>
      </c>
      <c r="G261" s="5" t="s">
        <v>969</v>
      </c>
      <c r="H261" s="4" t="s">
        <v>455</v>
      </c>
      <c r="I261" s="5" t="s">
        <v>970</v>
      </c>
    </row>
    <row r="262" spans="1:9" ht="15.75" customHeight="1" x14ac:dyDescent="0.35">
      <c r="A262" s="10" t="s">
        <v>737</v>
      </c>
      <c r="B262" s="4" t="s">
        <v>971</v>
      </c>
      <c r="C262" s="5" t="s">
        <v>972</v>
      </c>
      <c r="D262" s="4">
        <v>1</v>
      </c>
      <c r="E262" s="5"/>
      <c r="F262" s="5" t="s">
        <v>745</v>
      </c>
      <c r="G262" s="5" t="s">
        <v>973</v>
      </c>
      <c r="H262" s="4" t="s">
        <v>24</v>
      </c>
      <c r="I262" s="5" t="s">
        <v>974</v>
      </c>
    </row>
    <row r="263" spans="1:9" ht="15.75" customHeight="1" x14ac:dyDescent="0.35">
      <c r="A263" s="10" t="s">
        <v>737</v>
      </c>
      <c r="B263" s="4" t="s">
        <v>975</v>
      </c>
      <c r="C263" s="5" t="s">
        <v>976</v>
      </c>
      <c r="D263" s="4">
        <v>1</v>
      </c>
      <c r="E263" s="5"/>
      <c r="F263" s="5" t="s">
        <v>745</v>
      </c>
      <c r="G263" s="5" t="s">
        <v>977</v>
      </c>
      <c r="H263" s="4" t="s">
        <v>24</v>
      </c>
      <c r="I263" s="5" t="s">
        <v>978</v>
      </c>
    </row>
    <row r="264" spans="1:9" ht="15.75" customHeight="1" x14ac:dyDescent="0.35">
      <c r="A264" s="10" t="s">
        <v>737</v>
      </c>
      <c r="B264" s="4" t="s">
        <v>979</v>
      </c>
      <c r="C264" s="5" t="s">
        <v>980</v>
      </c>
      <c r="D264" s="4">
        <v>1</v>
      </c>
      <c r="E264" s="5"/>
      <c r="F264" s="5" t="s">
        <v>777</v>
      </c>
      <c r="G264" s="5" t="s">
        <v>981</v>
      </c>
      <c r="H264" s="4" t="s">
        <v>24</v>
      </c>
      <c r="I264" s="5" t="s">
        <v>982</v>
      </c>
    </row>
    <row r="265" spans="1:9" ht="15.75" customHeight="1" x14ac:dyDescent="0.35">
      <c r="A265" s="10" t="s">
        <v>737</v>
      </c>
      <c r="B265" s="4" t="s">
        <v>983</v>
      </c>
      <c r="C265" s="5" t="s">
        <v>984</v>
      </c>
      <c r="D265" s="21">
        <v>1</v>
      </c>
      <c r="E265" s="5"/>
      <c r="F265" s="5" t="s">
        <v>745</v>
      </c>
      <c r="G265" s="5" t="s">
        <v>985</v>
      </c>
      <c r="H265" s="4" t="s">
        <v>455</v>
      </c>
      <c r="I265" s="5" t="s">
        <v>986</v>
      </c>
    </row>
    <row r="266" spans="1:9" ht="15.75" customHeight="1" x14ac:dyDescent="0.35">
      <c r="A266" s="10" t="s">
        <v>737</v>
      </c>
      <c r="B266" s="4" t="s">
        <v>987</v>
      </c>
      <c r="C266" s="5" t="s">
        <v>988</v>
      </c>
      <c r="D266" s="11"/>
      <c r="E266" s="5"/>
      <c r="F266" s="5" t="s">
        <v>965</v>
      </c>
      <c r="G266" s="5" t="s">
        <v>989</v>
      </c>
      <c r="H266" s="4" t="s">
        <v>24</v>
      </c>
      <c r="I266" s="5" t="s">
        <v>756</v>
      </c>
    </row>
    <row r="267" spans="1:9" ht="15.75" customHeight="1" x14ac:dyDescent="0.35">
      <c r="A267" s="10" t="s">
        <v>737</v>
      </c>
      <c r="B267" s="4" t="s">
        <v>990</v>
      </c>
      <c r="C267" s="5" t="s">
        <v>991</v>
      </c>
      <c r="D267" s="21">
        <v>1</v>
      </c>
      <c r="E267" s="5"/>
      <c r="F267" s="5" t="s">
        <v>745</v>
      </c>
      <c r="G267" s="5" t="s">
        <v>992</v>
      </c>
      <c r="H267" s="4" t="s">
        <v>455</v>
      </c>
      <c r="I267" s="5" t="s">
        <v>993</v>
      </c>
    </row>
    <row r="268" spans="1:9" ht="15.75" customHeight="1" x14ac:dyDescent="0.35">
      <c r="A268" s="10" t="s">
        <v>737</v>
      </c>
      <c r="B268" s="4" t="s">
        <v>994</v>
      </c>
      <c r="C268" s="5" t="s">
        <v>995</v>
      </c>
      <c r="D268" s="4">
        <v>0</v>
      </c>
      <c r="E268" s="5"/>
      <c r="F268" s="5" t="s">
        <v>77</v>
      </c>
      <c r="G268" s="5"/>
      <c r="H268" s="4" t="s">
        <v>749</v>
      </c>
      <c r="I268" s="5" t="s">
        <v>996</v>
      </c>
    </row>
    <row r="269" spans="1:9" ht="15.75" customHeight="1" x14ac:dyDescent="0.35">
      <c r="A269" s="10" t="s">
        <v>737</v>
      </c>
      <c r="B269" s="4" t="s">
        <v>997</v>
      </c>
      <c r="C269" s="5" t="s">
        <v>998</v>
      </c>
      <c r="D269" s="4">
        <v>1</v>
      </c>
      <c r="E269" s="5"/>
      <c r="F269" s="5" t="s">
        <v>745</v>
      </c>
      <c r="G269" s="5" t="s">
        <v>999</v>
      </c>
      <c r="H269" s="4" t="s">
        <v>24</v>
      </c>
      <c r="I269" s="5" t="s">
        <v>1000</v>
      </c>
    </row>
    <row r="270" spans="1:9" ht="15.75" customHeight="1" x14ac:dyDescent="0.35">
      <c r="A270" s="10" t="s">
        <v>737</v>
      </c>
      <c r="B270" s="4" t="s">
        <v>1001</v>
      </c>
      <c r="C270" s="5" t="s">
        <v>1002</v>
      </c>
      <c r="D270" s="4">
        <v>1</v>
      </c>
      <c r="E270" s="5"/>
      <c r="F270" s="5" t="s">
        <v>745</v>
      </c>
      <c r="G270" s="5" t="s">
        <v>1003</v>
      </c>
      <c r="H270" s="4" t="s">
        <v>24</v>
      </c>
      <c r="I270" s="5" t="s">
        <v>1004</v>
      </c>
    </row>
    <row r="271" spans="1:9" ht="15.75" customHeight="1" x14ac:dyDescent="0.35">
      <c r="A271" s="10" t="s">
        <v>737</v>
      </c>
      <c r="B271" s="4" t="s">
        <v>1005</v>
      </c>
      <c r="C271" s="5" t="s">
        <v>1006</v>
      </c>
      <c r="D271" s="4">
        <v>1</v>
      </c>
      <c r="E271" s="5"/>
      <c r="F271" s="5" t="s">
        <v>745</v>
      </c>
      <c r="G271" s="5" t="s">
        <v>1007</v>
      </c>
      <c r="H271" s="4" t="s">
        <v>24</v>
      </c>
      <c r="I271" s="5" t="s">
        <v>1008</v>
      </c>
    </row>
    <row r="272" spans="1:9" ht="15.75" customHeight="1" x14ac:dyDescent="0.35">
      <c r="A272" s="10" t="s">
        <v>737</v>
      </c>
      <c r="B272" s="4" t="s">
        <v>1009</v>
      </c>
      <c r="C272" s="5" t="s">
        <v>1010</v>
      </c>
      <c r="D272" s="4">
        <v>1</v>
      </c>
      <c r="E272" s="5"/>
      <c r="F272" s="5" t="s">
        <v>745</v>
      </c>
      <c r="G272" s="5" t="s">
        <v>1011</v>
      </c>
      <c r="H272" s="4" t="s">
        <v>455</v>
      </c>
      <c r="I272" s="5" t="s">
        <v>1012</v>
      </c>
    </row>
    <row r="273" spans="1:9" ht="15.75" customHeight="1" x14ac:dyDescent="0.35">
      <c r="A273" s="10" t="s">
        <v>737</v>
      </c>
      <c r="B273" s="4" t="s">
        <v>1013</v>
      </c>
      <c r="C273" s="5" t="s">
        <v>1014</v>
      </c>
      <c r="D273" s="21">
        <v>1</v>
      </c>
      <c r="E273" s="5"/>
      <c r="F273" s="5" t="s">
        <v>745</v>
      </c>
      <c r="G273" s="5" t="s">
        <v>1015</v>
      </c>
      <c r="H273" s="4" t="s">
        <v>455</v>
      </c>
      <c r="I273" s="5" t="s">
        <v>1016</v>
      </c>
    </row>
    <row r="274" spans="1:9" ht="15.75" customHeight="1" x14ac:dyDescent="0.35">
      <c r="A274" s="10" t="s">
        <v>737</v>
      </c>
      <c r="B274" s="4" t="s">
        <v>1017</v>
      </c>
      <c r="C274" s="5" t="s">
        <v>1018</v>
      </c>
      <c r="D274" s="4">
        <v>1</v>
      </c>
      <c r="E274" s="5"/>
      <c r="F274" s="5" t="s">
        <v>745</v>
      </c>
      <c r="G274" s="5" t="s">
        <v>1019</v>
      </c>
      <c r="H274" s="4" t="s">
        <v>455</v>
      </c>
      <c r="I274" s="5" t="s">
        <v>1020</v>
      </c>
    </row>
    <row r="275" spans="1:9" ht="15.75" customHeight="1" x14ac:dyDescent="0.35">
      <c r="A275" s="10" t="s">
        <v>737</v>
      </c>
      <c r="B275" s="4" t="s">
        <v>1021</v>
      </c>
      <c r="C275" s="5" t="s">
        <v>1022</v>
      </c>
      <c r="D275" s="11"/>
      <c r="E275" s="5"/>
      <c r="F275" s="5" t="s">
        <v>965</v>
      </c>
      <c r="G275" s="5" t="s">
        <v>1023</v>
      </c>
      <c r="H275" s="4" t="s">
        <v>455</v>
      </c>
      <c r="I275" s="5" t="s">
        <v>1021</v>
      </c>
    </row>
    <row r="276" spans="1:9" ht="15.75" customHeight="1" x14ac:dyDescent="0.35">
      <c r="A276" s="10" t="s">
        <v>737</v>
      </c>
      <c r="B276" s="4" t="s">
        <v>1024</v>
      </c>
      <c r="C276" s="5" t="s">
        <v>1025</v>
      </c>
      <c r="D276" s="4">
        <v>1</v>
      </c>
      <c r="E276" s="5"/>
      <c r="F276" s="5" t="s">
        <v>745</v>
      </c>
      <c r="G276" s="5" t="s">
        <v>1026</v>
      </c>
      <c r="H276" s="4" t="s">
        <v>455</v>
      </c>
      <c r="I276" s="5" t="s">
        <v>1027</v>
      </c>
    </row>
    <row r="277" spans="1:9" ht="15.75" customHeight="1" x14ac:dyDescent="0.35">
      <c r="A277" s="10" t="s">
        <v>737</v>
      </c>
      <c r="B277" s="4" t="s">
        <v>1028</v>
      </c>
      <c r="C277" s="5" t="s">
        <v>1029</v>
      </c>
      <c r="D277" s="4">
        <v>1</v>
      </c>
      <c r="E277" s="5"/>
      <c r="F277" s="5" t="s">
        <v>745</v>
      </c>
      <c r="G277" s="5" t="s">
        <v>249</v>
      </c>
      <c r="H277" s="4" t="s">
        <v>794</v>
      </c>
      <c r="I277" s="5" t="s">
        <v>1030</v>
      </c>
    </row>
    <row r="278" spans="1:9" ht="15.75" customHeight="1" x14ac:dyDescent="0.35">
      <c r="A278" s="10" t="s">
        <v>737</v>
      </c>
      <c r="B278" s="4" t="s">
        <v>1031</v>
      </c>
      <c r="C278" s="5" t="s">
        <v>1032</v>
      </c>
      <c r="D278" s="4">
        <v>1</v>
      </c>
      <c r="E278" s="5"/>
      <c r="F278" s="5" t="s">
        <v>745</v>
      </c>
      <c r="G278" s="5" t="s">
        <v>1033</v>
      </c>
      <c r="H278" s="4" t="s">
        <v>455</v>
      </c>
      <c r="I278" s="5" t="s">
        <v>1034</v>
      </c>
    </row>
    <row r="279" spans="1:9" ht="15.75" customHeight="1" x14ac:dyDescent="0.35">
      <c r="A279" s="10" t="s">
        <v>737</v>
      </c>
      <c r="B279" s="4" t="s">
        <v>1035</v>
      </c>
      <c r="C279" s="5" t="s">
        <v>1036</v>
      </c>
      <c r="D279" s="4">
        <v>1</v>
      </c>
      <c r="E279" s="5"/>
      <c r="F279" s="5" t="s">
        <v>745</v>
      </c>
      <c r="G279" s="5" t="s">
        <v>1037</v>
      </c>
      <c r="H279" s="4" t="s">
        <v>24</v>
      </c>
      <c r="I279" s="5" t="s">
        <v>1038</v>
      </c>
    </row>
    <row r="280" spans="1:9" ht="15.75" customHeight="1" x14ac:dyDescent="0.35">
      <c r="A280" s="10" t="s">
        <v>737</v>
      </c>
      <c r="B280" s="4" t="s">
        <v>1039</v>
      </c>
      <c r="C280" s="5" t="s">
        <v>1040</v>
      </c>
      <c r="D280" s="4">
        <v>1</v>
      </c>
      <c r="E280" s="5"/>
      <c r="F280" s="5" t="s">
        <v>745</v>
      </c>
      <c r="G280" s="5" t="s">
        <v>1041</v>
      </c>
      <c r="H280" s="4" t="s">
        <v>455</v>
      </c>
      <c r="I280" s="5" t="s">
        <v>1042</v>
      </c>
    </row>
    <row r="281" spans="1:9" ht="15.75" customHeight="1" x14ac:dyDescent="0.35">
      <c r="A281" s="10" t="s">
        <v>737</v>
      </c>
      <c r="B281" s="4" t="s">
        <v>1043</v>
      </c>
      <c r="C281" s="5" t="s">
        <v>1044</v>
      </c>
      <c r="D281" s="11"/>
      <c r="E281" s="5"/>
      <c r="F281" s="5" t="s">
        <v>965</v>
      </c>
      <c r="G281" s="5" t="s">
        <v>1045</v>
      </c>
      <c r="H281" s="4" t="s">
        <v>24</v>
      </c>
      <c r="I281" s="5" t="s">
        <v>1046</v>
      </c>
    </row>
    <row r="282" spans="1:9" ht="15.75" customHeight="1" x14ac:dyDescent="0.35">
      <c r="A282" s="10" t="s">
        <v>737</v>
      </c>
      <c r="B282" s="4" t="s">
        <v>1047</v>
      </c>
      <c r="C282" s="5" t="s">
        <v>1048</v>
      </c>
      <c r="D282" s="4">
        <v>1</v>
      </c>
      <c r="E282" s="5"/>
      <c r="F282" s="5" t="s">
        <v>816</v>
      </c>
      <c r="G282" s="13" t="s">
        <v>1049</v>
      </c>
      <c r="H282" s="4" t="s">
        <v>818</v>
      </c>
      <c r="I282" s="5" t="s">
        <v>1050</v>
      </c>
    </row>
    <row r="283" spans="1:9" ht="15.75" customHeight="1" x14ac:dyDescent="0.35">
      <c r="A283" s="10" t="s">
        <v>737</v>
      </c>
      <c r="B283" s="4" t="s">
        <v>1051</v>
      </c>
      <c r="C283" s="5" t="s">
        <v>1052</v>
      </c>
      <c r="D283" s="11"/>
      <c r="E283" s="5"/>
      <c r="F283" s="5" t="s">
        <v>965</v>
      </c>
      <c r="G283" s="5" t="s">
        <v>1053</v>
      </c>
      <c r="H283" s="4" t="s">
        <v>24</v>
      </c>
      <c r="I283" s="5" t="s">
        <v>1054</v>
      </c>
    </row>
    <row r="284" spans="1:9" ht="15.75" customHeight="1" x14ac:dyDescent="0.35">
      <c r="A284" s="10" t="s">
        <v>737</v>
      </c>
      <c r="B284" s="4" t="s">
        <v>1055</v>
      </c>
      <c r="C284" s="5" t="s">
        <v>1056</v>
      </c>
      <c r="D284" s="11"/>
      <c r="E284" s="5"/>
      <c r="F284" s="5" t="s">
        <v>965</v>
      </c>
      <c r="G284" s="5" t="s">
        <v>1057</v>
      </c>
      <c r="H284" s="4" t="s">
        <v>455</v>
      </c>
      <c r="I284" s="5" t="s">
        <v>1058</v>
      </c>
    </row>
    <row r="285" spans="1:9" ht="15.75" customHeight="1" x14ac:dyDescent="0.35">
      <c r="A285" s="10" t="s">
        <v>737</v>
      </c>
      <c r="B285" s="4" t="s">
        <v>1059</v>
      </c>
      <c r="C285" s="5" t="s">
        <v>1060</v>
      </c>
      <c r="D285" s="4">
        <v>1</v>
      </c>
      <c r="E285" s="5"/>
      <c r="F285" s="5" t="s">
        <v>745</v>
      </c>
      <c r="G285" s="5" t="s">
        <v>1061</v>
      </c>
      <c r="H285" s="4" t="s">
        <v>455</v>
      </c>
      <c r="I285" s="5" t="s">
        <v>1062</v>
      </c>
    </row>
    <row r="286" spans="1:9" ht="15.75" customHeight="1" x14ac:dyDescent="0.35">
      <c r="A286" s="10" t="s">
        <v>737</v>
      </c>
      <c r="B286" s="4" t="s">
        <v>1063</v>
      </c>
      <c r="C286" s="5" t="s">
        <v>1064</v>
      </c>
      <c r="D286" s="4">
        <v>1</v>
      </c>
      <c r="E286" s="5"/>
      <c r="F286" s="5" t="s">
        <v>745</v>
      </c>
      <c r="G286" s="5" t="s">
        <v>1065</v>
      </c>
      <c r="H286" s="4" t="s">
        <v>455</v>
      </c>
      <c r="I286" s="5" t="s">
        <v>1066</v>
      </c>
    </row>
    <row r="287" spans="1:9" ht="15.75" customHeight="1" x14ac:dyDescent="0.35">
      <c r="A287" s="10" t="s">
        <v>737</v>
      </c>
      <c r="B287" s="4" t="s">
        <v>1067</v>
      </c>
      <c r="C287" s="5" t="s">
        <v>1068</v>
      </c>
      <c r="D287" s="4">
        <v>1</v>
      </c>
      <c r="E287" s="5"/>
      <c r="F287" s="5" t="s">
        <v>777</v>
      </c>
      <c r="G287" s="5" t="s">
        <v>1069</v>
      </c>
      <c r="H287" s="4" t="s">
        <v>455</v>
      </c>
      <c r="I287" s="5" t="s">
        <v>1070</v>
      </c>
    </row>
    <row r="288" spans="1:9" ht="15.75" customHeight="1" x14ac:dyDescent="0.35">
      <c r="A288" s="10" t="s">
        <v>737</v>
      </c>
      <c r="B288" s="4" t="s">
        <v>1071</v>
      </c>
      <c r="C288" s="5" t="s">
        <v>1072</v>
      </c>
      <c r="D288" s="4">
        <v>1</v>
      </c>
      <c r="E288" s="5"/>
      <c r="F288" s="5" t="s">
        <v>777</v>
      </c>
      <c r="G288" s="5" t="s">
        <v>1073</v>
      </c>
      <c r="H288" s="4" t="s">
        <v>455</v>
      </c>
      <c r="I288" s="5" t="s">
        <v>1074</v>
      </c>
    </row>
    <row r="289" spans="1:9" ht="15.75" customHeight="1" x14ac:dyDescent="0.35">
      <c r="A289" s="10" t="s">
        <v>737</v>
      </c>
      <c r="B289" s="4" t="s">
        <v>1075</v>
      </c>
      <c r="C289" s="5" t="s">
        <v>1076</v>
      </c>
      <c r="D289" s="21">
        <v>1</v>
      </c>
      <c r="E289" s="5"/>
      <c r="F289" s="5" t="s">
        <v>777</v>
      </c>
      <c r="G289" s="5" t="s">
        <v>1077</v>
      </c>
      <c r="H289" s="4" t="s">
        <v>455</v>
      </c>
      <c r="I289" s="5" t="s">
        <v>1078</v>
      </c>
    </row>
    <row r="290" spans="1:9" ht="15.75" customHeight="1" x14ac:dyDescent="0.35">
      <c r="A290" s="10" t="s">
        <v>737</v>
      </c>
      <c r="B290" s="4" t="s">
        <v>1079</v>
      </c>
      <c r="C290" s="5" t="s">
        <v>1080</v>
      </c>
      <c r="D290" s="11"/>
      <c r="E290" s="5"/>
      <c r="F290" s="5" t="s">
        <v>965</v>
      </c>
      <c r="G290" s="5" t="s">
        <v>1081</v>
      </c>
      <c r="H290" s="4" t="s">
        <v>24</v>
      </c>
      <c r="I290" s="5" t="s">
        <v>1082</v>
      </c>
    </row>
    <row r="291" spans="1:9" ht="15.75" customHeight="1" x14ac:dyDescent="0.35">
      <c r="A291" s="10" t="s">
        <v>737</v>
      </c>
      <c r="B291" s="4" t="s">
        <v>1083</v>
      </c>
      <c r="C291" s="5" t="s">
        <v>1084</v>
      </c>
      <c r="D291" s="4">
        <v>1</v>
      </c>
      <c r="E291" s="5"/>
      <c r="F291" s="5" t="s">
        <v>745</v>
      </c>
      <c r="G291" s="5" t="s">
        <v>1085</v>
      </c>
      <c r="H291" s="4" t="s">
        <v>455</v>
      </c>
      <c r="I291" s="5" t="s">
        <v>1086</v>
      </c>
    </row>
    <row r="292" spans="1:9" ht="15.75" customHeight="1" x14ac:dyDescent="0.35">
      <c r="A292" s="10" t="s">
        <v>737</v>
      </c>
      <c r="B292" s="4" t="s">
        <v>1087</v>
      </c>
      <c r="C292" s="5" t="s">
        <v>1088</v>
      </c>
      <c r="D292" s="4">
        <v>1</v>
      </c>
      <c r="E292" s="5"/>
      <c r="F292" s="5" t="s">
        <v>745</v>
      </c>
      <c r="G292" s="5" t="s">
        <v>1089</v>
      </c>
      <c r="H292" s="4" t="s">
        <v>455</v>
      </c>
      <c r="I292" s="5" t="s">
        <v>1090</v>
      </c>
    </row>
    <row r="293" spans="1:9" ht="15.75" customHeight="1" x14ac:dyDescent="0.35">
      <c r="A293" s="10" t="s">
        <v>737</v>
      </c>
      <c r="B293" s="4" t="s">
        <v>1091</v>
      </c>
      <c r="C293" s="5" t="s">
        <v>1092</v>
      </c>
      <c r="D293" s="4">
        <v>1</v>
      </c>
      <c r="E293" s="5"/>
      <c r="F293" s="5" t="s">
        <v>745</v>
      </c>
      <c r="G293" s="5" t="s">
        <v>1093</v>
      </c>
      <c r="H293" s="4" t="s">
        <v>455</v>
      </c>
      <c r="I293" s="5" t="s">
        <v>1094</v>
      </c>
    </row>
    <row r="294" spans="1:9" ht="15.75" customHeight="1" x14ac:dyDescent="0.35">
      <c r="A294" s="10" t="s">
        <v>737</v>
      </c>
      <c r="B294" s="4" t="s">
        <v>1095</v>
      </c>
      <c r="C294" s="5" t="s">
        <v>1096</v>
      </c>
      <c r="D294" s="11"/>
      <c r="E294" s="5"/>
      <c r="F294" s="5" t="s">
        <v>965</v>
      </c>
      <c r="G294" s="5" t="s">
        <v>1097</v>
      </c>
      <c r="H294" s="4" t="s">
        <v>24</v>
      </c>
      <c r="I294" s="5" t="s">
        <v>1082</v>
      </c>
    </row>
    <row r="295" spans="1:9" ht="15.75" customHeight="1" x14ac:dyDescent="0.35">
      <c r="A295" s="10" t="s">
        <v>737</v>
      </c>
      <c r="B295" s="4" t="s">
        <v>1098</v>
      </c>
      <c r="C295" s="5" t="s">
        <v>1099</v>
      </c>
      <c r="D295" s="4">
        <v>1</v>
      </c>
      <c r="E295" s="5" t="s">
        <v>1100</v>
      </c>
      <c r="F295" s="5" t="s">
        <v>40</v>
      </c>
      <c r="G295" s="5"/>
      <c r="H295" s="4" t="s">
        <v>749</v>
      </c>
      <c r="I295" s="5" t="s">
        <v>1101</v>
      </c>
    </row>
    <row r="296" spans="1:9" ht="15.75" customHeight="1" x14ac:dyDescent="0.35">
      <c r="A296" s="10" t="s">
        <v>737</v>
      </c>
      <c r="B296" s="4" t="s">
        <v>1102</v>
      </c>
      <c r="C296" s="5" t="s">
        <v>1103</v>
      </c>
      <c r="E296" s="5"/>
      <c r="F296" s="5" t="s">
        <v>965</v>
      </c>
      <c r="G296" s="5" t="s">
        <v>1104</v>
      </c>
      <c r="H296" s="4" t="s">
        <v>24</v>
      </c>
      <c r="I296" s="5" t="s">
        <v>1105</v>
      </c>
    </row>
    <row r="297" spans="1:9" ht="15.75" customHeight="1" x14ac:dyDescent="0.35">
      <c r="A297" s="10" t="s">
        <v>737</v>
      </c>
      <c r="B297" s="4" t="s">
        <v>1106</v>
      </c>
      <c r="C297" s="5" t="s">
        <v>1107</v>
      </c>
      <c r="D297" s="21">
        <v>1</v>
      </c>
      <c r="E297" s="5"/>
      <c r="F297" s="5" t="s">
        <v>745</v>
      </c>
      <c r="G297" s="5" t="s">
        <v>1108</v>
      </c>
      <c r="H297" s="4" t="s">
        <v>455</v>
      </c>
      <c r="I297" s="5" t="s">
        <v>1109</v>
      </c>
    </row>
    <row r="298" spans="1:9" ht="15.75" customHeight="1" x14ac:dyDescent="0.35">
      <c r="A298" s="10" t="s">
        <v>737</v>
      </c>
      <c r="B298" s="4" t="s">
        <v>1110</v>
      </c>
      <c r="C298" s="5" t="s">
        <v>1111</v>
      </c>
      <c r="D298" s="4">
        <v>1</v>
      </c>
      <c r="E298" s="5"/>
      <c r="F298" s="5" t="s">
        <v>745</v>
      </c>
      <c r="G298" s="5" t="s">
        <v>1112</v>
      </c>
      <c r="H298" s="4" t="s">
        <v>24</v>
      </c>
      <c r="I298" s="5" t="s">
        <v>1113</v>
      </c>
    </row>
    <row r="299" spans="1:9" ht="15.75" customHeight="1" x14ac:dyDescent="0.35">
      <c r="A299" s="10" t="s">
        <v>737</v>
      </c>
      <c r="B299" s="4" t="s">
        <v>1114</v>
      </c>
      <c r="C299" s="5" t="s">
        <v>1115</v>
      </c>
      <c r="D299" s="21">
        <v>1</v>
      </c>
      <c r="E299" s="5"/>
      <c r="F299" s="5" t="s">
        <v>745</v>
      </c>
      <c r="G299" s="5" t="s">
        <v>1116</v>
      </c>
      <c r="H299" s="4" t="s">
        <v>24</v>
      </c>
      <c r="I299" s="5" t="s">
        <v>1117</v>
      </c>
    </row>
    <row r="300" spans="1:9" ht="15.75" customHeight="1" x14ac:dyDescent="0.35">
      <c r="A300" s="10" t="s">
        <v>737</v>
      </c>
      <c r="B300" s="4" t="s">
        <v>1118</v>
      </c>
      <c r="C300" s="5" t="s">
        <v>1119</v>
      </c>
      <c r="D300" s="4">
        <v>1</v>
      </c>
      <c r="E300" s="5"/>
      <c r="F300" s="5" t="s">
        <v>745</v>
      </c>
      <c r="G300" s="5" t="s">
        <v>1120</v>
      </c>
      <c r="H300" s="4" t="s">
        <v>455</v>
      </c>
      <c r="I300" s="5" t="s">
        <v>1121</v>
      </c>
    </row>
    <row r="301" spans="1:9" ht="15.75" customHeight="1" x14ac:dyDescent="0.35">
      <c r="A301" s="10" t="s">
        <v>737</v>
      </c>
      <c r="B301" s="4" t="s">
        <v>1122</v>
      </c>
      <c r="C301" s="5" t="s">
        <v>1123</v>
      </c>
      <c r="D301" s="4">
        <v>1</v>
      </c>
      <c r="E301" s="5"/>
      <c r="F301" s="5" t="s">
        <v>777</v>
      </c>
      <c r="G301" s="5" t="s">
        <v>1124</v>
      </c>
      <c r="H301" s="4" t="s">
        <v>455</v>
      </c>
      <c r="I301" s="5" t="s">
        <v>833</v>
      </c>
    </row>
    <row r="302" spans="1:9" ht="15.75" customHeight="1" x14ac:dyDescent="0.35">
      <c r="C302" s="5"/>
      <c r="E302" s="5"/>
      <c r="F302" s="5"/>
      <c r="G302" s="5"/>
      <c r="I302" s="5"/>
    </row>
    <row r="303" spans="1:9" ht="15.75" customHeight="1" x14ac:dyDescent="0.35">
      <c r="C303" s="5"/>
      <c r="E303" s="5"/>
      <c r="F303" s="5"/>
      <c r="G303" s="5"/>
      <c r="I303" s="5"/>
    </row>
    <row r="304" spans="1:9" ht="15.75" customHeight="1" x14ac:dyDescent="0.35">
      <c r="C304" s="5"/>
      <c r="E304" s="5"/>
      <c r="F304" s="5"/>
      <c r="G304" s="5"/>
      <c r="I304" s="5"/>
    </row>
    <row r="305" spans="1:9" ht="15.75" customHeight="1" x14ac:dyDescent="0.35">
      <c r="C305" s="5"/>
      <c r="E305" s="5"/>
      <c r="F305" s="5"/>
      <c r="G305" s="5"/>
      <c r="I305" s="5"/>
    </row>
    <row r="306" spans="1:9" ht="15.75" customHeight="1" x14ac:dyDescent="0.35">
      <c r="C306" s="5"/>
      <c r="E306" s="5"/>
      <c r="F306" s="5"/>
      <c r="G306" s="5"/>
      <c r="I306" s="5"/>
    </row>
    <row r="307" spans="1:9" ht="15.75" customHeight="1" x14ac:dyDescent="0.35">
      <c r="C307" s="5"/>
      <c r="E307" s="5"/>
      <c r="F307" s="5"/>
      <c r="G307" s="5"/>
      <c r="I307" s="5"/>
    </row>
    <row r="308" spans="1:9" ht="15.75" customHeight="1" x14ac:dyDescent="0.35">
      <c r="A308" s="5"/>
      <c r="C308" s="5"/>
      <c r="D308" s="5"/>
      <c r="E308" s="5"/>
      <c r="G308" s="5"/>
    </row>
    <row r="309" spans="1:9" ht="15.75" customHeight="1" x14ac:dyDescent="0.35">
      <c r="A309" s="5"/>
      <c r="C309" s="5"/>
      <c r="D309" s="5"/>
      <c r="E309" s="5"/>
      <c r="G309" s="5"/>
    </row>
    <row r="310" spans="1:9" ht="15.75" customHeight="1" x14ac:dyDescent="0.35">
      <c r="A310" s="5"/>
      <c r="C310" s="5"/>
      <c r="D310" s="5"/>
      <c r="E310" s="5"/>
      <c r="G310" s="5"/>
    </row>
    <row r="311" spans="1:9" ht="15.75" customHeight="1" x14ac:dyDescent="0.35">
      <c r="A311" s="5"/>
      <c r="C311" s="5"/>
      <c r="D311" s="5"/>
      <c r="E311" s="5"/>
      <c r="G311" s="5"/>
    </row>
    <row r="312" spans="1:9" ht="15.75" customHeight="1" x14ac:dyDescent="0.35">
      <c r="A312" s="5"/>
      <c r="C312" s="5"/>
      <c r="D312" s="5"/>
      <c r="E312" s="5"/>
      <c r="G312" s="5"/>
    </row>
    <row r="313" spans="1:9" ht="15.75" customHeight="1" x14ac:dyDescent="0.35">
      <c r="C313" s="5"/>
      <c r="E313" s="5"/>
      <c r="F313" s="5"/>
      <c r="G313" s="5"/>
      <c r="I313" s="5"/>
    </row>
    <row r="314" spans="1:9" ht="15.75" customHeight="1" x14ac:dyDescent="0.35">
      <c r="C314" s="5"/>
      <c r="E314" s="5"/>
      <c r="F314" s="5"/>
      <c r="G314" s="5"/>
      <c r="I314" s="5"/>
    </row>
    <row r="315" spans="1:9" ht="15.75" customHeight="1" x14ac:dyDescent="0.35">
      <c r="C315" s="5"/>
      <c r="E315" s="5"/>
      <c r="F315" s="5"/>
      <c r="G315" s="5"/>
      <c r="I315" s="5"/>
    </row>
    <row r="316" spans="1:9" ht="15.75" customHeight="1" x14ac:dyDescent="0.35">
      <c r="C316" s="5"/>
      <c r="E316" s="5"/>
      <c r="F316" s="5"/>
      <c r="G316" s="5"/>
      <c r="I316" s="5"/>
    </row>
    <row r="317" spans="1:9" ht="15.75" customHeight="1" x14ac:dyDescent="0.35">
      <c r="C317" s="5"/>
      <c r="E317" s="5"/>
      <c r="F317" s="5"/>
      <c r="G317" s="5"/>
      <c r="I317" s="5"/>
    </row>
    <row r="318" spans="1:9" ht="15.75" customHeight="1" x14ac:dyDescent="0.35">
      <c r="C318" s="5"/>
      <c r="E318" s="5"/>
      <c r="F318" s="5"/>
      <c r="G318" s="5"/>
      <c r="I318" s="5"/>
    </row>
    <row r="319" spans="1:9" ht="15.75" customHeight="1" x14ac:dyDescent="0.35">
      <c r="C319" s="5"/>
      <c r="E319" s="5"/>
      <c r="F319" s="5"/>
      <c r="G319" s="5"/>
      <c r="I319" s="5"/>
    </row>
    <row r="320" spans="1:9" ht="15.75" customHeight="1" x14ac:dyDescent="0.35">
      <c r="C320" s="5"/>
      <c r="E320" s="5"/>
      <c r="F320" s="5"/>
      <c r="G320" s="5"/>
      <c r="I320" s="5"/>
    </row>
    <row r="321" spans="3:9" ht="15.75" customHeight="1" x14ac:dyDescent="0.35">
      <c r="C321" s="5"/>
      <c r="E321" s="5"/>
      <c r="F321" s="5"/>
      <c r="G321" s="5"/>
      <c r="I321" s="5"/>
    </row>
    <row r="322" spans="3:9" ht="15.75" customHeight="1" x14ac:dyDescent="0.35">
      <c r="C322" s="5"/>
      <c r="E322" s="5"/>
      <c r="F322" s="5"/>
      <c r="G322" s="5"/>
      <c r="I322" s="5"/>
    </row>
    <row r="323" spans="3:9" ht="15.75" customHeight="1" x14ac:dyDescent="0.35">
      <c r="C323" s="5"/>
      <c r="E323" s="5"/>
      <c r="F323" s="5"/>
      <c r="G323" s="5"/>
      <c r="I323" s="5"/>
    </row>
    <row r="324" spans="3:9" ht="15.75" customHeight="1" x14ac:dyDescent="0.35">
      <c r="C324" s="5"/>
      <c r="E324" s="5"/>
      <c r="F324" s="5"/>
      <c r="G324" s="5"/>
      <c r="I324" s="5"/>
    </row>
    <row r="325" spans="3:9" ht="15.75" customHeight="1" x14ac:dyDescent="0.35">
      <c r="C325" s="5"/>
      <c r="E325" s="5"/>
      <c r="F325" s="5"/>
      <c r="G325" s="5"/>
      <c r="I325" s="5"/>
    </row>
    <row r="326" spans="3:9" ht="15.75" customHeight="1" x14ac:dyDescent="0.35">
      <c r="C326" s="5"/>
      <c r="E326" s="5"/>
      <c r="F326" s="5"/>
      <c r="G326" s="5"/>
      <c r="I326" s="5"/>
    </row>
    <row r="327" spans="3:9" ht="15.75" customHeight="1" x14ac:dyDescent="0.35">
      <c r="C327" s="5"/>
      <c r="E327" s="5"/>
      <c r="F327" s="5"/>
      <c r="G327" s="5"/>
      <c r="I327" s="5"/>
    </row>
    <row r="328" spans="3:9" ht="15.75" customHeight="1" x14ac:dyDescent="0.35">
      <c r="C328" s="5"/>
      <c r="E328" s="5"/>
      <c r="F328" s="5"/>
      <c r="G328" s="5"/>
      <c r="I328" s="5"/>
    </row>
    <row r="329" spans="3:9" ht="15.75" customHeight="1" x14ac:dyDescent="0.35">
      <c r="C329" s="5"/>
      <c r="E329" s="5"/>
      <c r="F329" s="5"/>
      <c r="G329" s="5"/>
      <c r="I329" s="5"/>
    </row>
    <row r="330" spans="3:9" ht="15.75" customHeight="1" x14ac:dyDescent="0.35">
      <c r="C330" s="5"/>
      <c r="E330" s="5"/>
      <c r="F330" s="5"/>
      <c r="G330" s="5"/>
      <c r="I330" s="5"/>
    </row>
    <row r="331" spans="3:9" ht="15.75" customHeight="1" x14ac:dyDescent="0.35">
      <c r="C331" s="5"/>
      <c r="E331" s="5"/>
      <c r="F331" s="5"/>
      <c r="G331" s="5"/>
      <c r="I331" s="5"/>
    </row>
    <row r="332" spans="3:9" ht="15.75" customHeight="1" x14ac:dyDescent="0.35">
      <c r="C332" s="5"/>
      <c r="E332" s="5"/>
      <c r="F332" s="5"/>
      <c r="G332" s="5"/>
      <c r="I332" s="5"/>
    </row>
    <row r="333" spans="3:9" ht="15.75" customHeight="1" x14ac:dyDescent="0.35">
      <c r="C333" s="5"/>
      <c r="E333" s="5"/>
      <c r="F333" s="5"/>
      <c r="G333" s="5"/>
      <c r="I333" s="5"/>
    </row>
    <row r="334" spans="3:9" ht="15.75" customHeight="1" x14ac:dyDescent="0.35">
      <c r="C334" s="5"/>
      <c r="E334" s="5"/>
      <c r="F334" s="5"/>
      <c r="G334" s="5"/>
      <c r="I334" s="5"/>
    </row>
    <row r="335" spans="3:9" ht="15.75" customHeight="1" x14ac:dyDescent="0.35">
      <c r="C335" s="5"/>
      <c r="E335" s="5"/>
      <c r="F335" s="5"/>
      <c r="G335" s="5"/>
      <c r="I335" s="5"/>
    </row>
    <row r="336" spans="3:9" ht="15.75" customHeight="1" x14ac:dyDescent="0.35">
      <c r="C336" s="5"/>
      <c r="E336" s="5"/>
      <c r="F336" s="5"/>
      <c r="G336" s="5"/>
      <c r="I336" s="5"/>
    </row>
    <row r="337" spans="3:9" ht="15.75" customHeight="1" x14ac:dyDescent="0.35">
      <c r="C337" s="5"/>
      <c r="E337" s="5"/>
      <c r="F337" s="5"/>
      <c r="G337" s="5"/>
      <c r="I337" s="5"/>
    </row>
    <row r="338" spans="3:9" ht="15.75" customHeight="1" x14ac:dyDescent="0.35">
      <c r="C338" s="5"/>
      <c r="E338" s="5"/>
      <c r="F338" s="5"/>
      <c r="G338" s="5"/>
      <c r="I338" s="5"/>
    </row>
    <row r="339" spans="3:9" ht="15.75" customHeight="1" x14ac:dyDescent="0.35">
      <c r="C339" s="5"/>
      <c r="E339" s="5"/>
      <c r="F339" s="5"/>
      <c r="G339" s="5"/>
      <c r="I339" s="5"/>
    </row>
    <row r="340" spans="3:9" ht="15.75" customHeight="1" x14ac:dyDescent="0.35">
      <c r="C340" s="5"/>
      <c r="E340" s="5"/>
      <c r="F340" s="5"/>
      <c r="G340" s="5"/>
      <c r="I340" s="5"/>
    </row>
    <row r="341" spans="3:9" ht="15.75" customHeight="1" x14ac:dyDescent="0.35">
      <c r="C341" s="5"/>
      <c r="E341" s="5"/>
      <c r="F341" s="5"/>
      <c r="G341" s="5"/>
      <c r="I341" s="5"/>
    </row>
    <row r="342" spans="3:9" ht="15.75" customHeight="1" x14ac:dyDescent="0.35">
      <c r="C342" s="5"/>
      <c r="E342" s="5"/>
      <c r="F342" s="5"/>
      <c r="G342" s="5"/>
      <c r="I342" s="5"/>
    </row>
    <row r="343" spans="3:9" ht="15.75" customHeight="1" x14ac:dyDescent="0.35">
      <c r="C343" s="5"/>
      <c r="E343" s="5"/>
      <c r="F343" s="5"/>
      <c r="G343" s="5"/>
      <c r="I343" s="5"/>
    </row>
    <row r="344" spans="3:9" ht="15.75" customHeight="1" x14ac:dyDescent="0.35">
      <c r="C344" s="5"/>
      <c r="E344" s="5"/>
      <c r="F344" s="5"/>
      <c r="G344" s="5"/>
      <c r="I344" s="5"/>
    </row>
    <row r="345" spans="3:9" ht="15.75" customHeight="1" x14ac:dyDescent="0.35">
      <c r="C345" s="5"/>
      <c r="E345" s="5"/>
      <c r="F345" s="5"/>
      <c r="G345" s="5"/>
      <c r="I345" s="5"/>
    </row>
    <row r="346" spans="3:9" ht="15.75" customHeight="1" x14ac:dyDescent="0.35">
      <c r="C346" s="5"/>
      <c r="E346" s="5"/>
      <c r="F346" s="5"/>
      <c r="G346" s="5"/>
      <c r="I346" s="5"/>
    </row>
    <row r="347" spans="3:9" ht="15.75" customHeight="1" x14ac:dyDescent="0.35">
      <c r="C347" s="5"/>
      <c r="E347" s="5"/>
      <c r="F347" s="5"/>
      <c r="G347" s="5"/>
      <c r="I347" s="5"/>
    </row>
    <row r="348" spans="3:9" ht="15.75" customHeight="1" x14ac:dyDescent="0.35">
      <c r="C348" s="5"/>
      <c r="E348" s="5"/>
      <c r="F348" s="5"/>
      <c r="G348" s="5"/>
      <c r="I348" s="5"/>
    </row>
    <row r="349" spans="3:9" ht="15.75" customHeight="1" x14ac:dyDescent="0.35">
      <c r="C349" s="5"/>
      <c r="E349" s="5"/>
      <c r="F349" s="5"/>
      <c r="G349" s="5"/>
      <c r="I349" s="5"/>
    </row>
    <row r="350" spans="3:9" ht="15.75" customHeight="1" x14ac:dyDescent="0.35">
      <c r="C350" s="5"/>
      <c r="E350" s="5"/>
      <c r="F350" s="5"/>
      <c r="G350" s="5"/>
      <c r="I350" s="5"/>
    </row>
    <row r="351" spans="3:9" ht="15.75" customHeight="1" x14ac:dyDescent="0.35">
      <c r="C351" s="5"/>
      <c r="E351" s="5"/>
      <c r="F351" s="5"/>
      <c r="G351" s="5"/>
      <c r="I351" s="5"/>
    </row>
    <row r="352" spans="3:9" ht="15.75" customHeight="1" x14ac:dyDescent="0.35">
      <c r="C352" s="5"/>
      <c r="E352" s="5"/>
      <c r="F352" s="5"/>
      <c r="G352" s="5"/>
      <c r="I352" s="5"/>
    </row>
    <row r="353" spans="3:9" ht="15.75" customHeight="1" x14ac:dyDescent="0.35">
      <c r="C353" s="5"/>
      <c r="E353" s="5"/>
      <c r="F353" s="5"/>
      <c r="G353" s="5"/>
      <c r="I353" s="5"/>
    </row>
    <row r="354" spans="3:9" ht="15.75" customHeight="1" x14ac:dyDescent="0.35">
      <c r="C354" s="5"/>
      <c r="E354" s="5"/>
      <c r="F354" s="5"/>
      <c r="G354" s="5"/>
      <c r="I354" s="5"/>
    </row>
    <row r="355" spans="3:9" ht="15.75" customHeight="1" x14ac:dyDescent="0.35">
      <c r="C355" s="5"/>
      <c r="E355" s="5"/>
      <c r="F355" s="5"/>
      <c r="G355" s="5"/>
      <c r="I355" s="5"/>
    </row>
    <row r="356" spans="3:9" ht="15.75" customHeight="1" x14ac:dyDescent="0.35">
      <c r="C356" s="5"/>
      <c r="E356" s="5"/>
      <c r="F356" s="5"/>
      <c r="G356" s="5"/>
      <c r="I356" s="5"/>
    </row>
    <row r="357" spans="3:9" ht="15.75" customHeight="1" x14ac:dyDescent="0.35">
      <c r="C357" s="5"/>
      <c r="E357" s="5"/>
      <c r="F357" s="5"/>
      <c r="G357" s="5"/>
      <c r="I357" s="5"/>
    </row>
    <row r="358" spans="3:9" ht="15.75" customHeight="1" x14ac:dyDescent="0.35">
      <c r="C358" s="5"/>
      <c r="E358" s="5"/>
      <c r="F358" s="5"/>
      <c r="G358" s="5"/>
      <c r="I358" s="5"/>
    </row>
    <row r="359" spans="3:9" ht="15.75" customHeight="1" x14ac:dyDescent="0.35">
      <c r="C359" s="5"/>
      <c r="E359" s="5"/>
      <c r="F359" s="5"/>
      <c r="G359" s="5"/>
      <c r="I359" s="5"/>
    </row>
    <row r="360" spans="3:9" ht="15.75" customHeight="1" x14ac:dyDescent="0.35">
      <c r="C360" s="5"/>
      <c r="E360" s="5"/>
      <c r="F360" s="5"/>
      <c r="G360" s="5"/>
      <c r="I360" s="5"/>
    </row>
    <row r="361" spans="3:9" ht="15.75" customHeight="1" x14ac:dyDescent="0.35">
      <c r="C361" s="5"/>
      <c r="E361" s="5"/>
      <c r="F361" s="5"/>
      <c r="G361" s="5"/>
      <c r="I361" s="5"/>
    </row>
    <row r="362" spans="3:9" ht="15.75" customHeight="1" x14ac:dyDescent="0.35">
      <c r="C362" s="5"/>
      <c r="E362" s="5"/>
      <c r="F362" s="5"/>
      <c r="G362" s="5"/>
      <c r="I362" s="5"/>
    </row>
    <row r="363" spans="3:9" ht="15.75" customHeight="1" x14ac:dyDescent="0.35">
      <c r="C363" s="5"/>
      <c r="E363" s="5"/>
      <c r="F363" s="5"/>
      <c r="G363" s="5"/>
      <c r="I363" s="5"/>
    </row>
    <row r="364" spans="3:9" ht="15.75" customHeight="1" x14ac:dyDescent="0.35">
      <c r="C364" s="5"/>
      <c r="E364" s="5"/>
      <c r="F364" s="5"/>
      <c r="G364" s="5"/>
      <c r="I364" s="5"/>
    </row>
    <row r="365" spans="3:9" ht="15.75" customHeight="1" x14ac:dyDescent="0.35">
      <c r="C365" s="5"/>
      <c r="E365" s="5"/>
      <c r="F365" s="5"/>
      <c r="G365" s="5"/>
      <c r="I365" s="5"/>
    </row>
    <row r="366" spans="3:9" ht="15.75" customHeight="1" x14ac:dyDescent="0.35">
      <c r="C366" s="5"/>
      <c r="E366" s="5"/>
      <c r="F366" s="5"/>
      <c r="G366" s="5"/>
      <c r="I366" s="5"/>
    </row>
    <row r="367" spans="3:9" ht="15.75" customHeight="1" x14ac:dyDescent="0.35">
      <c r="C367" s="5"/>
      <c r="E367" s="5"/>
      <c r="F367" s="5"/>
      <c r="G367" s="5"/>
      <c r="I367" s="5"/>
    </row>
    <row r="368" spans="3:9" ht="15.75" customHeight="1" x14ac:dyDescent="0.35">
      <c r="C368" s="5"/>
      <c r="E368" s="5"/>
      <c r="F368" s="5"/>
      <c r="G368" s="5"/>
      <c r="I368" s="5"/>
    </row>
    <row r="369" spans="3:9" ht="15.75" customHeight="1" x14ac:dyDescent="0.35">
      <c r="C369" s="5"/>
      <c r="E369" s="5"/>
      <c r="F369" s="5"/>
      <c r="G369" s="5"/>
      <c r="I369" s="5"/>
    </row>
    <row r="370" spans="3:9" ht="15.75" customHeight="1" x14ac:dyDescent="0.35">
      <c r="C370" s="5"/>
      <c r="E370" s="5"/>
      <c r="F370" s="5"/>
      <c r="G370" s="5"/>
      <c r="I370" s="5"/>
    </row>
    <row r="371" spans="3:9" ht="15.75" customHeight="1" x14ac:dyDescent="0.35">
      <c r="C371" s="5"/>
      <c r="E371" s="5"/>
      <c r="F371" s="5"/>
      <c r="G371" s="5"/>
      <c r="I371" s="5"/>
    </row>
    <row r="372" spans="3:9" ht="15.75" customHeight="1" x14ac:dyDescent="0.35">
      <c r="C372" s="5"/>
      <c r="E372" s="5"/>
      <c r="F372" s="5"/>
      <c r="G372" s="5"/>
      <c r="I372" s="5"/>
    </row>
    <row r="373" spans="3:9" ht="15.75" customHeight="1" x14ac:dyDescent="0.35">
      <c r="C373" s="5"/>
      <c r="E373" s="5"/>
      <c r="F373" s="5"/>
      <c r="G373" s="5"/>
      <c r="I373" s="5"/>
    </row>
    <row r="374" spans="3:9" ht="15.75" customHeight="1" x14ac:dyDescent="0.35">
      <c r="C374" s="5"/>
      <c r="E374" s="5"/>
      <c r="F374" s="5"/>
      <c r="G374" s="5"/>
      <c r="I374" s="5"/>
    </row>
    <row r="375" spans="3:9" ht="15.75" customHeight="1" x14ac:dyDescent="0.35">
      <c r="C375" s="5"/>
      <c r="E375" s="5"/>
      <c r="F375" s="5"/>
      <c r="G375" s="5"/>
      <c r="I375" s="5"/>
    </row>
    <row r="376" spans="3:9" ht="15.75" customHeight="1" x14ac:dyDescent="0.35">
      <c r="C376" s="5"/>
      <c r="E376" s="5"/>
      <c r="F376" s="5"/>
      <c r="G376" s="5"/>
      <c r="I376" s="5"/>
    </row>
    <row r="377" spans="3:9" ht="15.75" customHeight="1" x14ac:dyDescent="0.35">
      <c r="C377" s="5"/>
      <c r="E377" s="5"/>
      <c r="F377" s="5"/>
      <c r="G377" s="5"/>
      <c r="I377" s="5"/>
    </row>
    <row r="378" spans="3:9" ht="15.75" customHeight="1" x14ac:dyDescent="0.35">
      <c r="C378" s="5"/>
      <c r="E378" s="5"/>
      <c r="F378" s="5"/>
      <c r="G378" s="5"/>
      <c r="I378" s="5"/>
    </row>
    <row r="379" spans="3:9" ht="15.75" customHeight="1" x14ac:dyDescent="0.35">
      <c r="C379" s="5"/>
      <c r="E379" s="5"/>
      <c r="F379" s="5"/>
      <c r="G379" s="5"/>
      <c r="I379" s="5"/>
    </row>
    <row r="380" spans="3:9" ht="15.75" customHeight="1" x14ac:dyDescent="0.35">
      <c r="C380" s="5"/>
      <c r="E380" s="5"/>
      <c r="F380" s="5"/>
      <c r="G380" s="5"/>
      <c r="I380" s="5"/>
    </row>
    <row r="381" spans="3:9" ht="15.75" customHeight="1" x14ac:dyDescent="0.35">
      <c r="C381" s="5"/>
      <c r="E381" s="5"/>
      <c r="F381" s="5"/>
      <c r="G381" s="5"/>
      <c r="I381" s="5"/>
    </row>
    <row r="382" spans="3:9" ht="15.75" customHeight="1" x14ac:dyDescent="0.35">
      <c r="C382" s="5"/>
      <c r="E382" s="5"/>
      <c r="F382" s="5"/>
      <c r="G382" s="5"/>
      <c r="I382" s="5"/>
    </row>
    <row r="383" spans="3:9" ht="15.75" customHeight="1" x14ac:dyDescent="0.35">
      <c r="C383" s="5"/>
      <c r="E383" s="5"/>
      <c r="F383" s="5"/>
      <c r="G383" s="5"/>
      <c r="I383" s="5"/>
    </row>
    <row r="384" spans="3:9" ht="15.75" customHeight="1" x14ac:dyDescent="0.35">
      <c r="C384" s="5"/>
      <c r="E384" s="5"/>
      <c r="F384" s="5"/>
      <c r="G384" s="5"/>
      <c r="I384" s="5"/>
    </row>
    <row r="385" spans="3:9" ht="15.75" customHeight="1" x14ac:dyDescent="0.35">
      <c r="C385" s="5"/>
      <c r="E385" s="5"/>
      <c r="F385" s="5"/>
      <c r="G385" s="5"/>
      <c r="I385" s="5"/>
    </row>
    <row r="386" spans="3:9" ht="15.75" customHeight="1" x14ac:dyDescent="0.35">
      <c r="C386" s="5"/>
      <c r="E386" s="5"/>
      <c r="F386" s="5"/>
      <c r="G386" s="5"/>
      <c r="I386" s="5"/>
    </row>
    <row r="387" spans="3:9" ht="15.75" customHeight="1" x14ac:dyDescent="0.35">
      <c r="C387" s="5"/>
      <c r="E387" s="5"/>
      <c r="F387" s="5"/>
      <c r="G387" s="5"/>
      <c r="I387" s="5"/>
    </row>
    <row r="388" spans="3:9" ht="15.75" customHeight="1" x14ac:dyDescent="0.35">
      <c r="C388" s="5"/>
      <c r="E388" s="5"/>
      <c r="F388" s="5"/>
      <c r="G388" s="5"/>
      <c r="I388" s="5"/>
    </row>
    <row r="389" spans="3:9" ht="15.75" customHeight="1" x14ac:dyDescent="0.35">
      <c r="C389" s="5"/>
      <c r="E389" s="5"/>
      <c r="F389" s="5"/>
      <c r="G389" s="5"/>
      <c r="I389" s="5"/>
    </row>
    <row r="390" spans="3:9" ht="15.75" customHeight="1" x14ac:dyDescent="0.35">
      <c r="C390" s="5"/>
      <c r="E390" s="5"/>
      <c r="F390" s="5"/>
      <c r="G390" s="5"/>
      <c r="I390" s="5"/>
    </row>
    <row r="391" spans="3:9" ht="15.75" customHeight="1" x14ac:dyDescent="0.35">
      <c r="C391" s="5"/>
      <c r="E391" s="5"/>
      <c r="F391" s="5"/>
      <c r="G391" s="5"/>
      <c r="I391" s="5"/>
    </row>
    <row r="392" spans="3:9" ht="15.75" customHeight="1" x14ac:dyDescent="0.35">
      <c r="C392" s="5"/>
      <c r="E392" s="5"/>
      <c r="F392" s="5"/>
      <c r="G392" s="5"/>
      <c r="I392" s="5"/>
    </row>
    <row r="393" spans="3:9" ht="15.75" customHeight="1" x14ac:dyDescent="0.35">
      <c r="C393" s="5"/>
      <c r="E393" s="5"/>
      <c r="F393" s="5"/>
      <c r="G393" s="5"/>
      <c r="I393" s="5"/>
    </row>
    <row r="394" spans="3:9" ht="15.75" customHeight="1" x14ac:dyDescent="0.35">
      <c r="C394" s="5"/>
      <c r="E394" s="5"/>
      <c r="F394" s="5"/>
      <c r="G394" s="5"/>
      <c r="I394" s="5"/>
    </row>
    <row r="395" spans="3:9" ht="15.75" customHeight="1" x14ac:dyDescent="0.35">
      <c r="C395" s="5"/>
      <c r="E395" s="5"/>
      <c r="F395" s="5"/>
      <c r="G395" s="5"/>
      <c r="I395" s="5"/>
    </row>
    <row r="396" spans="3:9" ht="15.75" customHeight="1" x14ac:dyDescent="0.35">
      <c r="C396" s="5"/>
      <c r="E396" s="5"/>
      <c r="F396" s="5"/>
      <c r="G396" s="5"/>
      <c r="I396" s="5"/>
    </row>
    <row r="397" spans="3:9" ht="15.75" customHeight="1" x14ac:dyDescent="0.35">
      <c r="C397" s="5"/>
      <c r="E397" s="5"/>
      <c r="F397" s="5"/>
      <c r="G397" s="5"/>
      <c r="I397" s="5"/>
    </row>
    <row r="398" spans="3:9" ht="15.75" customHeight="1" x14ac:dyDescent="0.35">
      <c r="C398" s="5"/>
      <c r="E398" s="5"/>
      <c r="F398" s="5"/>
      <c r="G398" s="5"/>
      <c r="I398" s="5"/>
    </row>
    <row r="399" spans="3:9" ht="15.75" customHeight="1" x14ac:dyDescent="0.35">
      <c r="C399" s="5"/>
      <c r="E399" s="5"/>
      <c r="F399" s="5"/>
      <c r="G399" s="5"/>
      <c r="I399" s="5"/>
    </row>
    <row r="400" spans="3:9" ht="15.75" customHeight="1" x14ac:dyDescent="0.35">
      <c r="C400" s="5"/>
      <c r="E400" s="5"/>
      <c r="F400" s="5"/>
      <c r="G400" s="5"/>
      <c r="I400" s="5"/>
    </row>
    <row r="401" spans="3:9" ht="15.75" customHeight="1" x14ac:dyDescent="0.35">
      <c r="C401" s="5"/>
      <c r="E401" s="5"/>
      <c r="F401" s="5"/>
      <c r="G401" s="5"/>
      <c r="I401" s="5"/>
    </row>
    <row r="402" spans="3:9" ht="15.75" customHeight="1" x14ac:dyDescent="0.35">
      <c r="C402" s="5"/>
      <c r="E402" s="5"/>
      <c r="F402" s="5"/>
      <c r="G402" s="5"/>
      <c r="I402" s="5"/>
    </row>
    <row r="403" spans="3:9" ht="15.75" customHeight="1" x14ac:dyDescent="0.35">
      <c r="C403" s="5"/>
      <c r="E403" s="5"/>
      <c r="F403" s="5"/>
      <c r="G403" s="5"/>
      <c r="I403" s="5"/>
    </row>
    <row r="404" spans="3:9" ht="15.75" customHeight="1" x14ac:dyDescent="0.35">
      <c r="C404" s="5"/>
      <c r="E404" s="5"/>
      <c r="F404" s="5"/>
      <c r="G404" s="5"/>
      <c r="I404" s="5"/>
    </row>
    <row r="405" spans="3:9" ht="15.75" customHeight="1" x14ac:dyDescent="0.35">
      <c r="C405" s="5"/>
      <c r="E405" s="5"/>
      <c r="F405" s="5"/>
      <c r="G405" s="5"/>
      <c r="I405" s="5"/>
    </row>
    <row r="406" spans="3:9" ht="15.75" customHeight="1" x14ac:dyDescent="0.35">
      <c r="C406" s="5"/>
      <c r="E406" s="5"/>
      <c r="F406" s="5"/>
      <c r="G406" s="5"/>
      <c r="I406" s="5"/>
    </row>
    <row r="407" spans="3:9" ht="15.75" customHeight="1" x14ac:dyDescent="0.35">
      <c r="C407" s="5"/>
      <c r="E407" s="5"/>
      <c r="F407" s="5"/>
      <c r="G407" s="5"/>
      <c r="I407" s="5"/>
    </row>
    <row r="408" spans="3:9" ht="15.75" customHeight="1" x14ac:dyDescent="0.35">
      <c r="C408" s="5"/>
      <c r="E408" s="5"/>
      <c r="F408" s="5"/>
      <c r="G408" s="5"/>
      <c r="I408" s="5"/>
    </row>
    <row r="409" spans="3:9" ht="15.75" customHeight="1" x14ac:dyDescent="0.35">
      <c r="C409" s="5"/>
      <c r="E409" s="5"/>
      <c r="F409" s="5"/>
      <c r="G409" s="5"/>
      <c r="I409" s="5"/>
    </row>
    <row r="410" spans="3:9" ht="15.75" customHeight="1" x14ac:dyDescent="0.35">
      <c r="C410" s="5"/>
      <c r="E410" s="5"/>
      <c r="F410" s="5"/>
      <c r="G410" s="5"/>
      <c r="I410" s="5"/>
    </row>
    <row r="411" spans="3:9" ht="15.75" customHeight="1" x14ac:dyDescent="0.35">
      <c r="C411" s="5"/>
      <c r="E411" s="5"/>
      <c r="F411" s="5"/>
      <c r="G411" s="5"/>
      <c r="I411" s="5"/>
    </row>
    <row r="412" spans="3:9" ht="15.75" customHeight="1" x14ac:dyDescent="0.35">
      <c r="C412" s="5"/>
      <c r="E412" s="5"/>
      <c r="F412" s="5"/>
      <c r="G412" s="5"/>
      <c r="I412" s="5"/>
    </row>
    <row r="413" spans="3:9" ht="15.75" customHeight="1" x14ac:dyDescent="0.35">
      <c r="C413" s="5"/>
      <c r="E413" s="5"/>
      <c r="F413" s="5"/>
      <c r="G413" s="5"/>
      <c r="I413" s="5"/>
    </row>
    <row r="414" spans="3:9" ht="15.75" customHeight="1" x14ac:dyDescent="0.35">
      <c r="C414" s="5"/>
      <c r="E414" s="5"/>
      <c r="F414" s="5"/>
      <c r="G414" s="5"/>
      <c r="I414" s="5"/>
    </row>
    <row r="415" spans="3:9" ht="15.75" customHeight="1" x14ac:dyDescent="0.35">
      <c r="C415" s="5"/>
      <c r="E415" s="5"/>
      <c r="F415" s="5"/>
      <c r="G415" s="5"/>
      <c r="I415" s="5"/>
    </row>
    <row r="416" spans="3:9" ht="15.75" customHeight="1" x14ac:dyDescent="0.35">
      <c r="C416" s="5"/>
      <c r="E416" s="5"/>
      <c r="F416" s="5"/>
      <c r="G416" s="5"/>
      <c r="I416" s="5"/>
    </row>
    <row r="417" spans="3:9" ht="15.75" customHeight="1" x14ac:dyDescent="0.35">
      <c r="C417" s="5"/>
      <c r="E417" s="5"/>
      <c r="F417" s="5"/>
      <c r="G417" s="5"/>
      <c r="I417" s="5"/>
    </row>
    <row r="418" spans="3:9" ht="15.75" customHeight="1" x14ac:dyDescent="0.35">
      <c r="C418" s="5"/>
      <c r="E418" s="5"/>
      <c r="F418" s="5"/>
      <c r="G418" s="5"/>
      <c r="I418" s="5"/>
    </row>
    <row r="419" spans="3:9" ht="15.75" customHeight="1" x14ac:dyDescent="0.35">
      <c r="C419" s="5"/>
      <c r="E419" s="5"/>
      <c r="F419" s="5"/>
      <c r="G419" s="5"/>
      <c r="I419" s="5"/>
    </row>
    <row r="420" spans="3:9" ht="15.75" customHeight="1" x14ac:dyDescent="0.35">
      <c r="C420" s="5"/>
      <c r="E420" s="5"/>
      <c r="F420" s="5"/>
      <c r="G420" s="5"/>
      <c r="I420" s="5"/>
    </row>
    <row r="421" spans="3:9" ht="15.75" customHeight="1" x14ac:dyDescent="0.35">
      <c r="C421" s="5"/>
      <c r="E421" s="5"/>
      <c r="F421" s="5"/>
      <c r="G421" s="5"/>
      <c r="I421" s="5"/>
    </row>
    <row r="422" spans="3:9" ht="15.75" customHeight="1" x14ac:dyDescent="0.35">
      <c r="C422" s="5"/>
      <c r="E422" s="5"/>
      <c r="F422" s="5"/>
      <c r="G422" s="5"/>
      <c r="I422" s="5"/>
    </row>
    <row r="423" spans="3:9" ht="15.75" customHeight="1" x14ac:dyDescent="0.35">
      <c r="C423" s="5"/>
      <c r="E423" s="5"/>
      <c r="F423" s="5"/>
      <c r="G423" s="5"/>
      <c r="I423" s="5"/>
    </row>
    <row r="424" spans="3:9" ht="15.75" customHeight="1" x14ac:dyDescent="0.35">
      <c r="C424" s="5"/>
      <c r="E424" s="5"/>
      <c r="F424" s="5"/>
      <c r="G424" s="5"/>
      <c r="I424" s="5"/>
    </row>
    <row r="425" spans="3:9" ht="15.75" customHeight="1" x14ac:dyDescent="0.35">
      <c r="C425" s="5"/>
      <c r="E425" s="5"/>
      <c r="F425" s="5"/>
      <c r="G425" s="5"/>
      <c r="I425" s="5"/>
    </row>
    <row r="426" spans="3:9" ht="15.75" customHeight="1" x14ac:dyDescent="0.35">
      <c r="C426" s="5"/>
      <c r="E426" s="5"/>
      <c r="F426" s="5"/>
      <c r="G426" s="5"/>
      <c r="I426" s="5"/>
    </row>
    <row r="427" spans="3:9" ht="15.75" customHeight="1" x14ac:dyDescent="0.35">
      <c r="C427" s="5"/>
      <c r="E427" s="5"/>
      <c r="F427" s="5"/>
      <c r="G427" s="5"/>
      <c r="I427" s="5"/>
    </row>
    <row r="428" spans="3:9" ht="15.75" customHeight="1" x14ac:dyDescent="0.35">
      <c r="C428" s="5"/>
      <c r="E428" s="5"/>
      <c r="F428" s="5"/>
      <c r="G428" s="5"/>
      <c r="I428" s="5"/>
    </row>
    <row r="429" spans="3:9" ht="15.75" customHeight="1" x14ac:dyDescent="0.35">
      <c r="C429" s="5"/>
      <c r="E429" s="5"/>
      <c r="F429" s="5"/>
      <c r="G429" s="5"/>
      <c r="I429" s="5"/>
    </row>
    <row r="430" spans="3:9" ht="15.75" customHeight="1" x14ac:dyDescent="0.35">
      <c r="C430" s="5"/>
      <c r="E430" s="5"/>
      <c r="F430" s="5"/>
      <c r="G430" s="5"/>
      <c r="I430" s="5"/>
    </row>
    <row r="431" spans="3:9" ht="15.75" customHeight="1" x14ac:dyDescent="0.35">
      <c r="C431" s="5"/>
      <c r="E431" s="5"/>
      <c r="F431" s="5"/>
      <c r="G431" s="5"/>
      <c r="I431" s="5"/>
    </row>
    <row r="432" spans="3:9" ht="15.75" customHeight="1" x14ac:dyDescent="0.35">
      <c r="C432" s="5"/>
      <c r="E432" s="5"/>
      <c r="F432" s="5"/>
      <c r="G432" s="5"/>
      <c r="I432" s="5"/>
    </row>
    <row r="433" spans="3:9" ht="15.75" customHeight="1" x14ac:dyDescent="0.35">
      <c r="C433" s="5"/>
      <c r="E433" s="5"/>
      <c r="F433" s="5"/>
      <c r="G433" s="5"/>
      <c r="I433" s="5"/>
    </row>
    <row r="434" spans="3:9" ht="15.75" customHeight="1" x14ac:dyDescent="0.35">
      <c r="C434" s="5"/>
      <c r="E434" s="5"/>
      <c r="F434" s="5"/>
      <c r="G434" s="5"/>
      <c r="I434" s="5"/>
    </row>
    <row r="435" spans="3:9" ht="15.75" customHeight="1" x14ac:dyDescent="0.35">
      <c r="C435" s="5"/>
      <c r="E435" s="5"/>
      <c r="F435" s="5"/>
      <c r="G435" s="5"/>
      <c r="I435" s="5"/>
    </row>
    <row r="436" spans="3:9" ht="15.75" customHeight="1" x14ac:dyDescent="0.35">
      <c r="C436" s="5"/>
      <c r="E436" s="5"/>
      <c r="F436" s="5"/>
      <c r="G436" s="5"/>
      <c r="I436" s="5"/>
    </row>
    <row r="437" spans="3:9" ht="15.75" customHeight="1" x14ac:dyDescent="0.35">
      <c r="C437" s="5"/>
      <c r="E437" s="5"/>
      <c r="F437" s="5"/>
      <c r="G437" s="5"/>
      <c r="I437" s="5"/>
    </row>
    <row r="438" spans="3:9" ht="15.75" customHeight="1" x14ac:dyDescent="0.35">
      <c r="C438" s="5"/>
      <c r="E438" s="5"/>
      <c r="F438" s="5"/>
      <c r="G438" s="5"/>
      <c r="I438" s="5"/>
    </row>
    <row r="439" spans="3:9" ht="15.75" customHeight="1" x14ac:dyDescent="0.35">
      <c r="C439" s="5"/>
      <c r="E439" s="5"/>
      <c r="F439" s="5"/>
      <c r="G439" s="5"/>
      <c r="I439" s="5"/>
    </row>
    <row r="440" spans="3:9" ht="15.75" customHeight="1" x14ac:dyDescent="0.35">
      <c r="C440" s="5"/>
      <c r="E440" s="5"/>
      <c r="F440" s="5"/>
      <c r="G440" s="5"/>
      <c r="I440" s="5"/>
    </row>
    <row r="441" spans="3:9" ht="15.75" customHeight="1" x14ac:dyDescent="0.35">
      <c r="C441" s="5"/>
      <c r="E441" s="5"/>
      <c r="F441" s="5"/>
      <c r="G441" s="5"/>
      <c r="I441" s="5"/>
    </row>
    <row r="442" spans="3:9" ht="15.75" customHeight="1" x14ac:dyDescent="0.35">
      <c r="C442" s="5"/>
      <c r="E442" s="5"/>
      <c r="F442" s="5"/>
      <c r="G442" s="5"/>
      <c r="I442" s="5"/>
    </row>
    <row r="443" spans="3:9" ht="15.75" customHeight="1" x14ac:dyDescent="0.35">
      <c r="C443" s="5"/>
      <c r="E443" s="5"/>
      <c r="F443" s="5"/>
      <c r="G443" s="5"/>
      <c r="I443" s="5"/>
    </row>
    <row r="444" spans="3:9" ht="15.75" customHeight="1" x14ac:dyDescent="0.35">
      <c r="C444" s="5"/>
      <c r="E444" s="5"/>
      <c r="F444" s="5"/>
      <c r="G444" s="5"/>
      <c r="I444" s="5"/>
    </row>
    <row r="445" spans="3:9" ht="15.75" customHeight="1" x14ac:dyDescent="0.35">
      <c r="C445" s="5"/>
      <c r="E445" s="5"/>
      <c r="F445" s="5"/>
      <c r="G445" s="5"/>
      <c r="I445" s="5"/>
    </row>
    <row r="446" spans="3:9" ht="15.75" customHeight="1" x14ac:dyDescent="0.35">
      <c r="C446" s="5"/>
      <c r="E446" s="5"/>
      <c r="F446" s="5"/>
      <c r="G446" s="5"/>
      <c r="I446" s="5"/>
    </row>
    <row r="447" spans="3:9" ht="15.75" customHeight="1" x14ac:dyDescent="0.35">
      <c r="C447" s="5"/>
      <c r="E447" s="5"/>
      <c r="F447" s="5"/>
      <c r="G447" s="5"/>
      <c r="I447" s="5"/>
    </row>
    <row r="448" spans="3:9" ht="15.75" customHeight="1" x14ac:dyDescent="0.35">
      <c r="C448" s="5"/>
      <c r="E448" s="5"/>
      <c r="F448" s="5"/>
      <c r="G448" s="5"/>
      <c r="I448" s="5"/>
    </row>
    <row r="449" spans="3:9" ht="15.75" customHeight="1" x14ac:dyDescent="0.35">
      <c r="C449" s="5"/>
      <c r="E449" s="5"/>
      <c r="F449" s="5"/>
      <c r="G449" s="5"/>
      <c r="I449" s="5"/>
    </row>
    <row r="450" spans="3:9" ht="15.75" customHeight="1" x14ac:dyDescent="0.35">
      <c r="C450" s="5"/>
      <c r="E450" s="5"/>
      <c r="F450" s="5"/>
      <c r="G450" s="5"/>
      <c r="I450" s="5"/>
    </row>
    <row r="451" spans="3:9" ht="15.75" customHeight="1" x14ac:dyDescent="0.35">
      <c r="C451" s="5"/>
      <c r="E451" s="5"/>
      <c r="F451" s="5"/>
      <c r="G451" s="5"/>
      <c r="I451" s="5"/>
    </row>
    <row r="452" spans="3:9" ht="15.75" customHeight="1" x14ac:dyDescent="0.35">
      <c r="C452" s="5"/>
      <c r="E452" s="5"/>
      <c r="F452" s="5"/>
      <c r="G452" s="5"/>
      <c r="I452" s="5"/>
    </row>
    <row r="453" spans="3:9" ht="15.75" customHeight="1" x14ac:dyDescent="0.35">
      <c r="C453" s="5"/>
      <c r="E453" s="5"/>
      <c r="F453" s="5"/>
      <c r="G453" s="5"/>
      <c r="I453" s="5"/>
    </row>
    <row r="454" spans="3:9" ht="15.75" customHeight="1" x14ac:dyDescent="0.35">
      <c r="C454" s="5"/>
      <c r="E454" s="5"/>
      <c r="F454" s="5"/>
      <c r="G454" s="5"/>
      <c r="I454" s="5"/>
    </row>
    <row r="455" spans="3:9" ht="15.75" customHeight="1" x14ac:dyDescent="0.35">
      <c r="C455" s="5"/>
      <c r="E455" s="5"/>
      <c r="F455" s="5"/>
      <c r="G455" s="5"/>
      <c r="I455" s="5"/>
    </row>
    <row r="456" spans="3:9" ht="15.75" customHeight="1" x14ac:dyDescent="0.35">
      <c r="C456" s="5"/>
      <c r="E456" s="5"/>
      <c r="F456" s="5"/>
      <c r="G456" s="5"/>
      <c r="I456" s="5"/>
    </row>
    <row r="457" spans="3:9" ht="15.75" customHeight="1" x14ac:dyDescent="0.35">
      <c r="C457" s="5"/>
      <c r="E457" s="5"/>
      <c r="F457" s="5"/>
      <c r="G457" s="5"/>
      <c r="I457" s="5"/>
    </row>
    <row r="458" spans="3:9" ht="15.75" customHeight="1" x14ac:dyDescent="0.35">
      <c r="C458" s="5"/>
      <c r="E458" s="5"/>
      <c r="F458" s="5"/>
      <c r="G458" s="5"/>
      <c r="I458" s="5"/>
    </row>
    <row r="459" spans="3:9" ht="15.75" customHeight="1" x14ac:dyDescent="0.35">
      <c r="C459" s="5"/>
      <c r="E459" s="5"/>
      <c r="F459" s="5"/>
      <c r="G459" s="5"/>
      <c r="I459" s="5"/>
    </row>
    <row r="460" spans="3:9" ht="15.75" customHeight="1" x14ac:dyDescent="0.35">
      <c r="C460" s="5"/>
      <c r="E460" s="5"/>
      <c r="F460" s="5"/>
      <c r="G460" s="5"/>
      <c r="I460" s="5"/>
    </row>
    <row r="461" spans="3:9" ht="15.75" customHeight="1" x14ac:dyDescent="0.35">
      <c r="C461" s="5"/>
      <c r="E461" s="5"/>
      <c r="F461" s="5"/>
      <c r="G461" s="5"/>
      <c r="I461" s="5"/>
    </row>
    <row r="462" spans="3:9" ht="15.75" customHeight="1" x14ac:dyDescent="0.35">
      <c r="C462" s="5"/>
      <c r="E462" s="5"/>
      <c r="F462" s="5"/>
      <c r="G462" s="5"/>
      <c r="I462" s="5"/>
    </row>
    <row r="463" spans="3:9" ht="15.75" customHeight="1" x14ac:dyDescent="0.35">
      <c r="C463" s="5"/>
      <c r="E463" s="5"/>
      <c r="F463" s="5"/>
      <c r="G463" s="5"/>
      <c r="I463" s="5"/>
    </row>
    <row r="464" spans="3:9" ht="15.75" customHeight="1" x14ac:dyDescent="0.35">
      <c r="C464" s="5"/>
      <c r="E464" s="5"/>
      <c r="F464" s="5"/>
      <c r="G464" s="5"/>
      <c r="I464" s="5"/>
    </row>
    <row r="465" spans="3:9" ht="15.75" customHeight="1" x14ac:dyDescent="0.35">
      <c r="C465" s="5"/>
      <c r="E465" s="5"/>
      <c r="F465" s="5"/>
      <c r="G465" s="5"/>
      <c r="I465" s="5"/>
    </row>
    <row r="466" spans="3:9" ht="15.75" customHeight="1" x14ac:dyDescent="0.35">
      <c r="C466" s="5"/>
      <c r="E466" s="5"/>
      <c r="F466" s="5"/>
      <c r="G466" s="5"/>
      <c r="I466" s="5"/>
    </row>
    <row r="467" spans="3:9" ht="15.75" customHeight="1" x14ac:dyDescent="0.35">
      <c r="C467" s="5"/>
      <c r="E467" s="5"/>
      <c r="F467" s="5"/>
      <c r="G467" s="5"/>
      <c r="I467" s="5"/>
    </row>
    <row r="468" spans="3:9" ht="15.75" customHeight="1" x14ac:dyDescent="0.35">
      <c r="C468" s="5"/>
      <c r="E468" s="5"/>
      <c r="F468" s="5"/>
      <c r="G468" s="5"/>
      <c r="I468" s="5"/>
    </row>
    <row r="469" spans="3:9" ht="15.75" customHeight="1" x14ac:dyDescent="0.35">
      <c r="C469" s="5"/>
      <c r="E469" s="5"/>
      <c r="F469" s="5"/>
      <c r="G469" s="5"/>
      <c r="I469" s="5"/>
    </row>
    <row r="470" spans="3:9" ht="15.75" customHeight="1" x14ac:dyDescent="0.35">
      <c r="C470" s="5"/>
      <c r="E470" s="5"/>
      <c r="F470" s="5"/>
      <c r="G470" s="5"/>
      <c r="I470" s="5"/>
    </row>
    <row r="471" spans="3:9" ht="15.75" customHeight="1" x14ac:dyDescent="0.35">
      <c r="C471" s="5"/>
      <c r="E471" s="5"/>
      <c r="F471" s="5"/>
      <c r="G471" s="5"/>
      <c r="I471" s="5"/>
    </row>
    <row r="472" spans="3:9" ht="15.75" customHeight="1" x14ac:dyDescent="0.35">
      <c r="C472" s="5"/>
      <c r="E472" s="5"/>
      <c r="F472" s="5"/>
      <c r="G472" s="5"/>
      <c r="I472" s="5"/>
    </row>
    <row r="473" spans="3:9" ht="15.75" customHeight="1" x14ac:dyDescent="0.35">
      <c r="C473" s="5"/>
      <c r="E473" s="5"/>
      <c r="F473" s="5"/>
      <c r="G473" s="5"/>
      <c r="I473" s="5"/>
    </row>
    <row r="474" spans="3:9" ht="15.75" customHeight="1" x14ac:dyDescent="0.35">
      <c r="C474" s="5"/>
      <c r="E474" s="5"/>
      <c r="F474" s="5"/>
      <c r="G474" s="5"/>
      <c r="I474" s="5"/>
    </row>
    <row r="475" spans="3:9" ht="15.75" customHeight="1" x14ac:dyDescent="0.35">
      <c r="C475" s="5"/>
      <c r="E475" s="5"/>
      <c r="F475" s="5"/>
      <c r="G475" s="5"/>
      <c r="I475" s="5"/>
    </row>
    <row r="476" spans="3:9" ht="15.75" customHeight="1" x14ac:dyDescent="0.35">
      <c r="C476" s="5"/>
      <c r="E476" s="5"/>
      <c r="F476" s="5"/>
      <c r="G476" s="5"/>
      <c r="I476" s="5"/>
    </row>
    <row r="477" spans="3:9" ht="15.75" customHeight="1" x14ac:dyDescent="0.35">
      <c r="C477" s="5"/>
      <c r="E477" s="5"/>
      <c r="F477" s="5"/>
      <c r="G477" s="5"/>
      <c r="I477" s="5"/>
    </row>
    <row r="478" spans="3:9" ht="15.75" customHeight="1" x14ac:dyDescent="0.35">
      <c r="C478" s="5"/>
      <c r="E478" s="5"/>
      <c r="F478" s="5"/>
      <c r="G478" s="5"/>
      <c r="I478" s="5"/>
    </row>
    <row r="479" spans="3:9" ht="15.75" customHeight="1" x14ac:dyDescent="0.35">
      <c r="C479" s="5"/>
      <c r="E479" s="5"/>
      <c r="F479" s="5"/>
      <c r="G479" s="5"/>
      <c r="I479" s="5"/>
    </row>
    <row r="480" spans="3:9" ht="15.75" customHeight="1" x14ac:dyDescent="0.35">
      <c r="C480" s="5"/>
      <c r="E480" s="5"/>
      <c r="F480" s="5"/>
      <c r="G480" s="5"/>
      <c r="I480" s="5"/>
    </row>
    <row r="481" spans="3:9" ht="15.75" customHeight="1" x14ac:dyDescent="0.35">
      <c r="C481" s="5"/>
      <c r="E481" s="5"/>
      <c r="F481" s="5"/>
      <c r="G481" s="5"/>
      <c r="I481" s="5"/>
    </row>
    <row r="482" spans="3:9" ht="15.75" customHeight="1" x14ac:dyDescent="0.35">
      <c r="C482" s="5"/>
      <c r="E482" s="5"/>
      <c r="F482" s="5"/>
      <c r="G482" s="5"/>
      <c r="I482" s="5"/>
    </row>
    <row r="483" spans="3:9" ht="15.75" customHeight="1" x14ac:dyDescent="0.35">
      <c r="C483" s="5"/>
      <c r="E483" s="5"/>
      <c r="F483" s="5"/>
      <c r="G483" s="5"/>
      <c r="I483" s="5"/>
    </row>
    <row r="484" spans="3:9" ht="15.75" customHeight="1" x14ac:dyDescent="0.35">
      <c r="C484" s="5"/>
      <c r="E484" s="5"/>
      <c r="F484" s="5"/>
      <c r="G484" s="5"/>
      <c r="I484" s="5"/>
    </row>
    <row r="485" spans="3:9" ht="15.75" customHeight="1" x14ac:dyDescent="0.35">
      <c r="C485" s="5"/>
      <c r="E485" s="5"/>
      <c r="F485" s="5"/>
      <c r="G485" s="5"/>
      <c r="I485" s="5"/>
    </row>
    <row r="486" spans="3:9" ht="15.75" customHeight="1" x14ac:dyDescent="0.35">
      <c r="C486" s="5"/>
      <c r="E486" s="5"/>
      <c r="F486" s="5"/>
      <c r="G486" s="5"/>
      <c r="I486" s="5"/>
    </row>
    <row r="487" spans="3:9" ht="15.75" customHeight="1" x14ac:dyDescent="0.35">
      <c r="C487" s="5"/>
      <c r="E487" s="5"/>
      <c r="F487" s="5"/>
      <c r="G487" s="5"/>
      <c r="I487" s="5"/>
    </row>
    <row r="488" spans="3:9" ht="15.75" customHeight="1" x14ac:dyDescent="0.35">
      <c r="C488" s="5"/>
      <c r="E488" s="5"/>
      <c r="F488" s="5"/>
      <c r="G488" s="5"/>
      <c r="I488" s="5"/>
    </row>
    <row r="489" spans="3:9" ht="15.75" customHeight="1" x14ac:dyDescent="0.35">
      <c r="C489" s="5"/>
      <c r="E489" s="5"/>
      <c r="F489" s="5"/>
      <c r="G489" s="5"/>
      <c r="I489" s="5"/>
    </row>
    <row r="490" spans="3:9" ht="15.75" customHeight="1" x14ac:dyDescent="0.35">
      <c r="C490" s="5"/>
      <c r="E490" s="5"/>
      <c r="F490" s="5"/>
      <c r="G490" s="5"/>
      <c r="I490" s="5"/>
    </row>
    <row r="491" spans="3:9" ht="15.75" customHeight="1" x14ac:dyDescent="0.35">
      <c r="C491" s="5"/>
      <c r="E491" s="5"/>
      <c r="F491" s="5"/>
      <c r="G491" s="5"/>
      <c r="I491" s="5"/>
    </row>
    <row r="492" spans="3:9" ht="15.75" customHeight="1" x14ac:dyDescent="0.35">
      <c r="C492" s="5"/>
      <c r="E492" s="5"/>
      <c r="F492" s="5"/>
      <c r="G492" s="5"/>
      <c r="I492" s="5"/>
    </row>
    <row r="493" spans="3:9" ht="15.75" customHeight="1" x14ac:dyDescent="0.35">
      <c r="C493" s="5"/>
      <c r="E493" s="5"/>
      <c r="F493" s="5"/>
      <c r="G493" s="5"/>
      <c r="I493" s="5"/>
    </row>
    <row r="494" spans="3:9" ht="15.75" customHeight="1" x14ac:dyDescent="0.35">
      <c r="C494" s="5"/>
      <c r="E494" s="5"/>
      <c r="F494" s="5"/>
      <c r="G494" s="5"/>
      <c r="I494" s="5"/>
    </row>
    <row r="495" spans="3:9" ht="15.75" customHeight="1" x14ac:dyDescent="0.35">
      <c r="C495" s="5"/>
      <c r="E495" s="5"/>
      <c r="F495" s="5"/>
      <c r="G495" s="5"/>
      <c r="I495" s="5"/>
    </row>
    <row r="496" spans="3:9" ht="15.75" customHeight="1" x14ac:dyDescent="0.35">
      <c r="C496" s="5"/>
      <c r="E496" s="5"/>
      <c r="F496" s="5"/>
      <c r="G496" s="5"/>
      <c r="I496" s="5"/>
    </row>
    <row r="497" spans="3:9" ht="15.75" customHeight="1" x14ac:dyDescent="0.35">
      <c r="C497" s="5"/>
      <c r="E497" s="5"/>
      <c r="F497" s="5"/>
      <c r="G497" s="5"/>
      <c r="I497" s="5"/>
    </row>
    <row r="498" spans="3:9" ht="15.75" customHeight="1" x14ac:dyDescent="0.35">
      <c r="C498" s="5"/>
      <c r="E498" s="5"/>
      <c r="F498" s="5"/>
      <c r="G498" s="5"/>
      <c r="I498" s="5"/>
    </row>
    <row r="499" spans="3:9" ht="15.75" customHeight="1" x14ac:dyDescent="0.35">
      <c r="C499" s="5"/>
      <c r="E499" s="5"/>
      <c r="F499" s="5"/>
      <c r="G499" s="5"/>
      <c r="I499" s="5"/>
    </row>
    <row r="500" spans="3:9" ht="15.75" customHeight="1" x14ac:dyDescent="0.35">
      <c r="C500" s="5"/>
      <c r="E500" s="5"/>
      <c r="F500" s="5"/>
      <c r="G500" s="5"/>
      <c r="I500" s="5"/>
    </row>
    <row r="501" spans="3:9" ht="15.75" customHeight="1" x14ac:dyDescent="0.35">
      <c r="C501" s="5"/>
      <c r="E501" s="5"/>
      <c r="F501" s="5"/>
      <c r="G501" s="5"/>
      <c r="I501" s="5"/>
    </row>
    <row r="502" spans="3:9" ht="15.75" customHeight="1" x14ac:dyDescent="0.35">
      <c r="C502" s="5"/>
      <c r="E502" s="5"/>
      <c r="F502" s="5"/>
      <c r="G502" s="5"/>
      <c r="I502" s="5"/>
    </row>
    <row r="503" spans="3:9" ht="15.75" customHeight="1" x14ac:dyDescent="0.35">
      <c r="C503" s="5"/>
      <c r="E503" s="5"/>
      <c r="F503" s="5"/>
      <c r="G503" s="5"/>
      <c r="I503" s="5"/>
    </row>
    <row r="504" spans="3:9" ht="15.75" customHeight="1" x14ac:dyDescent="0.35">
      <c r="C504" s="5"/>
      <c r="E504" s="5"/>
      <c r="F504" s="5"/>
      <c r="G504" s="5"/>
      <c r="I504" s="5"/>
    </row>
    <row r="505" spans="3:9" ht="15.75" customHeight="1" x14ac:dyDescent="0.35">
      <c r="C505" s="5"/>
      <c r="E505" s="5"/>
      <c r="F505" s="5"/>
      <c r="G505" s="5"/>
      <c r="I505" s="5"/>
    </row>
    <row r="506" spans="3:9" ht="15.75" customHeight="1" x14ac:dyDescent="0.35">
      <c r="C506" s="5"/>
      <c r="E506" s="5"/>
      <c r="F506" s="5"/>
      <c r="G506" s="5"/>
      <c r="I506" s="5"/>
    </row>
    <row r="507" spans="3:9" ht="15.75" customHeight="1" x14ac:dyDescent="0.35">
      <c r="C507" s="5"/>
      <c r="E507" s="5"/>
      <c r="F507" s="5"/>
      <c r="G507" s="5"/>
      <c r="I507" s="5"/>
    </row>
    <row r="508" spans="3:9" ht="15.75" customHeight="1" x14ac:dyDescent="0.35">
      <c r="C508" s="5"/>
      <c r="E508" s="5"/>
      <c r="F508" s="5"/>
      <c r="G508" s="5"/>
      <c r="I508" s="5"/>
    </row>
    <row r="509" spans="3:9" ht="15.75" customHeight="1" x14ac:dyDescent="0.35">
      <c r="C509" s="5"/>
      <c r="E509" s="5"/>
      <c r="F509" s="5"/>
      <c r="G509" s="5"/>
      <c r="I509" s="5"/>
    </row>
    <row r="510" spans="3:9" ht="15.75" customHeight="1" x14ac:dyDescent="0.35">
      <c r="C510" s="5"/>
      <c r="E510" s="5"/>
      <c r="F510" s="5"/>
      <c r="G510" s="5"/>
      <c r="I510" s="5"/>
    </row>
    <row r="511" spans="3:9" ht="15.75" customHeight="1" x14ac:dyDescent="0.35">
      <c r="C511" s="5"/>
      <c r="E511" s="5"/>
      <c r="F511" s="5"/>
      <c r="G511" s="5"/>
      <c r="I511" s="5"/>
    </row>
    <row r="512" spans="3:9" ht="15.75" customHeight="1" x14ac:dyDescent="0.35">
      <c r="C512" s="5"/>
      <c r="E512" s="5"/>
      <c r="F512" s="5"/>
      <c r="G512" s="5"/>
      <c r="I512" s="5"/>
    </row>
    <row r="513" spans="3:9" ht="15.75" customHeight="1" x14ac:dyDescent="0.35">
      <c r="C513" s="5"/>
      <c r="E513" s="5"/>
      <c r="F513" s="5"/>
      <c r="G513" s="5"/>
      <c r="I513" s="5"/>
    </row>
    <row r="514" spans="3:9" ht="15.75" customHeight="1" x14ac:dyDescent="0.35">
      <c r="C514" s="5"/>
      <c r="E514" s="5"/>
      <c r="F514" s="5"/>
      <c r="G514" s="5"/>
      <c r="I514" s="5"/>
    </row>
    <row r="515" spans="3:9" ht="15.75" customHeight="1" x14ac:dyDescent="0.35">
      <c r="C515" s="5"/>
      <c r="E515" s="5"/>
      <c r="F515" s="5"/>
      <c r="G515" s="5"/>
      <c r="I515" s="5"/>
    </row>
    <row r="516" spans="3:9" ht="15.75" customHeight="1" x14ac:dyDescent="0.35">
      <c r="C516" s="5"/>
      <c r="E516" s="5"/>
      <c r="F516" s="5"/>
      <c r="G516" s="5"/>
      <c r="I516" s="5"/>
    </row>
    <row r="517" spans="3:9" ht="15.75" customHeight="1" x14ac:dyDescent="0.35">
      <c r="C517" s="5"/>
      <c r="E517" s="5"/>
      <c r="F517" s="5"/>
      <c r="G517" s="5"/>
      <c r="I517" s="5"/>
    </row>
    <row r="518" spans="3:9" ht="15.75" customHeight="1" x14ac:dyDescent="0.35">
      <c r="C518" s="5"/>
      <c r="E518" s="5"/>
      <c r="F518" s="5"/>
      <c r="G518" s="5"/>
      <c r="I518" s="5"/>
    </row>
    <row r="519" spans="3:9" ht="15.75" customHeight="1" x14ac:dyDescent="0.35">
      <c r="C519" s="5"/>
      <c r="E519" s="5"/>
      <c r="F519" s="5"/>
      <c r="G519" s="5"/>
      <c r="I519" s="5"/>
    </row>
    <row r="520" spans="3:9" ht="15.75" customHeight="1" x14ac:dyDescent="0.35">
      <c r="C520" s="5"/>
      <c r="E520" s="5"/>
      <c r="F520" s="5"/>
      <c r="G520" s="5"/>
      <c r="I520" s="5"/>
    </row>
    <row r="521" spans="3:9" ht="15.75" customHeight="1" x14ac:dyDescent="0.35">
      <c r="C521" s="5"/>
      <c r="E521" s="5"/>
      <c r="F521" s="5"/>
      <c r="G521" s="5"/>
      <c r="I521" s="5"/>
    </row>
    <row r="522" spans="3:9" ht="15.75" customHeight="1" x14ac:dyDescent="0.35">
      <c r="C522" s="5"/>
      <c r="E522" s="5"/>
      <c r="F522" s="5"/>
      <c r="G522" s="5"/>
      <c r="I522" s="5"/>
    </row>
    <row r="523" spans="3:9" ht="15.75" customHeight="1" x14ac:dyDescent="0.35">
      <c r="C523" s="5"/>
      <c r="E523" s="5"/>
      <c r="F523" s="5"/>
      <c r="G523" s="5"/>
      <c r="I523" s="5"/>
    </row>
    <row r="524" spans="3:9" ht="15.75" customHeight="1" x14ac:dyDescent="0.35">
      <c r="C524" s="5"/>
      <c r="E524" s="5"/>
      <c r="F524" s="5"/>
      <c r="G524" s="5"/>
      <c r="I524" s="5"/>
    </row>
    <row r="525" spans="3:9" ht="15.75" customHeight="1" x14ac:dyDescent="0.35">
      <c r="C525" s="5"/>
      <c r="E525" s="5"/>
      <c r="F525" s="5"/>
      <c r="G525" s="5"/>
      <c r="I525" s="5"/>
    </row>
    <row r="526" spans="3:9" ht="15.75" customHeight="1" x14ac:dyDescent="0.35">
      <c r="C526" s="5"/>
      <c r="E526" s="5"/>
      <c r="F526" s="5"/>
      <c r="G526" s="5"/>
      <c r="I526" s="5"/>
    </row>
    <row r="527" spans="3:9" ht="15.75" customHeight="1" x14ac:dyDescent="0.35">
      <c r="C527" s="5"/>
      <c r="E527" s="5"/>
      <c r="F527" s="5"/>
      <c r="G527" s="5"/>
      <c r="I527" s="5"/>
    </row>
    <row r="528" spans="3:9" ht="15.75" customHeight="1" x14ac:dyDescent="0.35">
      <c r="C528" s="5"/>
      <c r="E528" s="5"/>
      <c r="F528" s="5"/>
      <c r="G528" s="5"/>
      <c r="I528" s="5"/>
    </row>
    <row r="529" spans="3:9" ht="15.75" customHeight="1" x14ac:dyDescent="0.35">
      <c r="C529" s="5"/>
      <c r="E529" s="5"/>
      <c r="F529" s="5"/>
      <c r="G529" s="5"/>
      <c r="I529" s="5"/>
    </row>
    <row r="530" spans="3:9" ht="15.75" customHeight="1" x14ac:dyDescent="0.35">
      <c r="C530" s="5"/>
      <c r="E530" s="5"/>
      <c r="F530" s="5"/>
      <c r="G530" s="5"/>
      <c r="I530" s="5"/>
    </row>
    <row r="531" spans="3:9" ht="15.75" customHeight="1" x14ac:dyDescent="0.35">
      <c r="C531" s="5"/>
      <c r="E531" s="5"/>
      <c r="F531" s="5"/>
      <c r="G531" s="5"/>
      <c r="I531" s="5"/>
    </row>
    <row r="532" spans="3:9" ht="15.75" customHeight="1" x14ac:dyDescent="0.35">
      <c r="C532" s="5"/>
      <c r="E532" s="5"/>
      <c r="F532" s="5"/>
      <c r="G532" s="5"/>
      <c r="I532" s="5"/>
    </row>
    <row r="533" spans="3:9" ht="15.75" customHeight="1" x14ac:dyDescent="0.35">
      <c r="C533" s="5"/>
      <c r="E533" s="5"/>
      <c r="F533" s="5"/>
      <c r="G533" s="5"/>
      <c r="I533" s="5"/>
    </row>
    <row r="534" spans="3:9" ht="15.75" customHeight="1" x14ac:dyDescent="0.35">
      <c r="C534" s="5"/>
      <c r="E534" s="5"/>
      <c r="F534" s="5"/>
      <c r="G534" s="5"/>
      <c r="I534" s="5"/>
    </row>
    <row r="535" spans="3:9" ht="15.75" customHeight="1" x14ac:dyDescent="0.35">
      <c r="C535" s="5"/>
      <c r="E535" s="5"/>
      <c r="F535" s="5"/>
      <c r="G535" s="5"/>
      <c r="I535" s="5"/>
    </row>
    <row r="536" spans="3:9" ht="15.75" customHeight="1" x14ac:dyDescent="0.35">
      <c r="C536" s="5"/>
      <c r="E536" s="5"/>
      <c r="F536" s="5"/>
      <c r="G536" s="5"/>
      <c r="I536" s="5"/>
    </row>
    <row r="537" spans="3:9" ht="15.75" customHeight="1" x14ac:dyDescent="0.35">
      <c r="C537" s="5"/>
      <c r="E537" s="5"/>
      <c r="F537" s="5"/>
      <c r="G537" s="5"/>
      <c r="I537" s="5"/>
    </row>
    <row r="538" spans="3:9" ht="15.75" customHeight="1" x14ac:dyDescent="0.35">
      <c r="C538" s="5"/>
      <c r="E538" s="5"/>
      <c r="F538" s="5"/>
      <c r="G538" s="5"/>
      <c r="I538" s="5"/>
    </row>
    <row r="539" spans="3:9" ht="15.75" customHeight="1" x14ac:dyDescent="0.35">
      <c r="C539" s="5"/>
      <c r="E539" s="5"/>
      <c r="F539" s="5"/>
      <c r="G539" s="5"/>
      <c r="I539" s="5"/>
    </row>
    <row r="540" spans="3:9" ht="15.75" customHeight="1" x14ac:dyDescent="0.35">
      <c r="C540" s="5"/>
      <c r="E540" s="5"/>
      <c r="F540" s="5"/>
      <c r="G540" s="5"/>
      <c r="I540" s="5"/>
    </row>
    <row r="541" spans="3:9" ht="15.75" customHeight="1" x14ac:dyDescent="0.35">
      <c r="C541" s="5"/>
      <c r="E541" s="5"/>
      <c r="F541" s="5"/>
      <c r="G541" s="5"/>
      <c r="I541" s="5"/>
    </row>
    <row r="542" spans="3:9" ht="15.75" customHeight="1" x14ac:dyDescent="0.35">
      <c r="C542" s="5"/>
      <c r="E542" s="5"/>
      <c r="F542" s="5"/>
      <c r="G542" s="5"/>
      <c r="I542" s="5"/>
    </row>
    <row r="543" spans="3:9" ht="15.75" customHeight="1" x14ac:dyDescent="0.35">
      <c r="C543" s="5"/>
      <c r="E543" s="5"/>
      <c r="F543" s="5"/>
      <c r="G543" s="5"/>
      <c r="I543" s="5"/>
    </row>
    <row r="544" spans="3:9" ht="15.75" customHeight="1" x14ac:dyDescent="0.35">
      <c r="C544" s="5"/>
      <c r="E544" s="5"/>
      <c r="F544" s="5"/>
      <c r="G544" s="5"/>
      <c r="I544" s="5"/>
    </row>
    <row r="545" spans="3:9" ht="15.75" customHeight="1" x14ac:dyDescent="0.35">
      <c r="C545" s="5"/>
      <c r="E545" s="5"/>
      <c r="F545" s="5"/>
      <c r="G545" s="5"/>
      <c r="I545" s="5"/>
    </row>
    <row r="546" spans="3:9" ht="15.75" customHeight="1" x14ac:dyDescent="0.35">
      <c r="C546" s="5"/>
      <c r="E546" s="5"/>
      <c r="F546" s="5"/>
      <c r="G546" s="5"/>
      <c r="I546" s="5"/>
    </row>
    <row r="547" spans="3:9" ht="15.75" customHeight="1" x14ac:dyDescent="0.35">
      <c r="C547" s="5"/>
      <c r="E547" s="5"/>
      <c r="F547" s="5"/>
      <c r="G547" s="5"/>
      <c r="I547" s="5"/>
    </row>
    <row r="548" spans="3:9" ht="15.75" customHeight="1" x14ac:dyDescent="0.35">
      <c r="C548" s="5"/>
      <c r="E548" s="5"/>
      <c r="F548" s="5"/>
      <c r="G548" s="5"/>
      <c r="I548" s="5"/>
    </row>
    <row r="549" spans="3:9" ht="15.75" customHeight="1" x14ac:dyDescent="0.35">
      <c r="C549" s="5"/>
      <c r="E549" s="5"/>
      <c r="F549" s="5"/>
      <c r="G549" s="5"/>
      <c r="I549" s="5"/>
    </row>
    <row r="550" spans="3:9" ht="15.75" customHeight="1" x14ac:dyDescent="0.35">
      <c r="C550" s="5"/>
      <c r="E550" s="5"/>
      <c r="F550" s="5"/>
      <c r="G550" s="5"/>
      <c r="I550" s="5"/>
    </row>
    <row r="551" spans="3:9" ht="15.75" customHeight="1" x14ac:dyDescent="0.35">
      <c r="C551" s="5"/>
      <c r="E551" s="5"/>
      <c r="F551" s="5"/>
      <c r="G551" s="5"/>
      <c r="I551" s="5"/>
    </row>
    <row r="552" spans="3:9" ht="15.75" customHeight="1" x14ac:dyDescent="0.35">
      <c r="C552" s="5"/>
      <c r="E552" s="5"/>
      <c r="F552" s="5"/>
      <c r="G552" s="5"/>
      <c r="I552" s="5"/>
    </row>
    <row r="553" spans="3:9" ht="15.75" customHeight="1" x14ac:dyDescent="0.35">
      <c r="C553" s="5"/>
      <c r="E553" s="5"/>
      <c r="F553" s="5"/>
      <c r="G553" s="5"/>
      <c r="I553" s="5"/>
    </row>
    <row r="554" spans="3:9" ht="15.75" customHeight="1" x14ac:dyDescent="0.35">
      <c r="C554" s="5"/>
      <c r="E554" s="5"/>
      <c r="F554" s="5"/>
      <c r="G554" s="5"/>
      <c r="I554" s="5"/>
    </row>
    <row r="555" spans="3:9" ht="15.75" customHeight="1" x14ac:dyDescent="0.35">
      <c r="C555" s="5"/>
      <c r="E555" s="5"/>
      <c r="F555" s="5"/>
      <c r="G555" s="5"/>
      <c r="I555" s="5"/>
    </row>
    <row r="556" spans="3:9" ht="15.75" customHeight="1" x14ac:dyDescent="0.35">
      <c r="C556" s="5"/>
      <c r="E556" s="5"/>
      <c r="F556" s="5"/>
      <c r="G556" s="5"/>
      <c r="I556" s="5"/>
    </row>
    <row r="557" spans="3:9" ht="15.75" customHeight="1" x14ac:dyDescent="0.35">
      <c r="C557" s="5"/>
      <c r="E557" s="5"/>
      <c r="F557" s="5"/>
      <c r="G557" s="5"/>
      <c r="I557" s="5"/>
    </row>
    <row r="558" spans="3:9" ht="15.75" customHeight="1" x14ac:dyDescent="0.35">
      <c r="C558" s="5"/>
      <c r="E558" s="5"/>
      <c r="F558" s="5"/>
      <c r="G558" s="5"/>
      <c r="I558" s="5"/>
    </row>
    <row r="559" spans="3:9" ht="15.75" customHeight="1" x14ac:dyDescent="0.35">
      <c r="C559" s="5"/>
      <c r="E559" s="5"/>
      <c r="F559" s="5"/>
      <c r="G559" s="5"/>
      <c r="I559" s="5"/>
    </row>
    <row r="560" spans="3:9" ht="15.75" customHeight="1" x14ac:dyDescent="0.35">
      <c r="C560" s="5"/>
      <c r="E560" s="5"/>
      <c r="F560" s="5"/>
      <c r="G560" s="5"/>
      <c r="I560" s="5"/>
    </row>
    <row r="561" spans="3:9" ht="15.75" customHeight="1" x14ac:dyDescent="0.35">
      <c r="C561" s="5"/>
      <c r="E561" s="5"/>
      <c r="F561" s="5"/>
      <c r="G561" s="5"/>
      <c r="I561" s="5"/>
    </row>
    <row r="562" spans="3:9" ht="15.75" customHeight="1" x14ac:dyDescent="0.35">
      <c r="C562" s="5"/>
      <c r="E562" s="5"/>
      <c r="F562" s="5"/>
      <c r="G562" s="5"/>
      <c r="I562" s="5"/>
    </row>
    <row r="563" spans="3:9" ht="15.75" customHeight="1" x14ac:dyDescent="0.35">
      <c r="C563" s="5"/>
      <c r="E563" s="5"/>
      <c r="F563" s="5"/>
      <c r="G563" s="5"/>
      <c r="I563" s="5"/>
    </row>
    <row r="564" spans="3:9" ht="15.75" customHeight="1" x14ac:dyDescent="0.35">
      <c r="C564" s="5"/>
      <c r="E564" s="5"/>
      <c r="F564" s="5"/>
      <c r="G564" s="5"/>
      <c r="I564" s="5"/>
    </row>
    <row r="565" spans="3:9" ht="15.75" customHeight="1" x14ac:dyDescent="0.35">
      <c r="C565" s="5"/>
      <c r="E565" s="5"/>
      <c r="F565" s="5"/>
      <c r="G565" s="5"/>
      <c r="I565" s="5"/>
    </row>
    <row r="566" spans="3:9" ht="15.75" customHeight="1" x14ac:dyDescent="0.35">
      <c r="C566" s="5"/>
      <c r="E566" s="5"/>
      <c r="F566" s="5"/>
      <c r="G566" s="5"/>
      <c r="I566" s="5"/>
    </row>
    <row r="567" spans="3:9" ht="15.75" customHeight="1" x14ac:dyDescent="0.35">
      <c r="C567" s="5"/>
      <c r="E567" s="5"/>
      <c r="F567" s="5"/>
      <c r="G567" s="5"/>
      <c r="I567" s="5"/>
    </row>
    <row r="568" spans="3:9" ht="15.75" customHeight="1" x14ac:dyDescent="0.35">
      <c r="C568" s="5"/>
      <c r="E568" s="5"/>
      <c r="F568" s="5"/>
      <c r="G568" s="5"/>
      <c r="I568" s="5"/>
    </row>
    <row r="569" spans="3:9" ht="15.75" customHeight="1" x14ac:dyDescent="0.35">
      <c r="C569" s="5"/>
      <c r="E569" s="5"/>
      <c r="F569" s="5"/>
      <c r="G569" s="5"/>
      <c r="I569" s="5"/>
    </row>
    <row r="570" spans="3:9" ht="15.75" customHeight="1" x14ac:dyDescent="0.35">
      <c r="C570" s="5"/>
      <c r="E570" s="5"/>
      <c r="F570" s="5"/>
      <c r="G570" s="5"/>
      <c r="I570" s="5"/>
    </row>
    <row r="571" spans="3:9" ht="15.75" customHeight="1" x14ac:dyDescent="0.35">
      <c r="C571" s="5"/>
      <c r="E571" s="5"/>
      <c r="F571" s="5"/>
      <c r="G571" s="5"/>
      <c r="I571" s="5"/>
    </row>
    <row r="572" spans="3:9" ht="15.75" customHeight="1" x14ac:dyDescent="0.35">
      <c r="C572" s="5"/>
      <c r="E572" s="5"/>
      <c r="F572" s="5"/>
      <c r="G572" s="5"/>
      <c r="I572" s="5"/>
    </row>
    <row r="573" spans="3:9" ht="15.75" customHeight="1" x14ac:dyDescent="0.35">
      <c r="C573" s="5"/>
      <c r="E573" s="5"/>
      <c r="F573" s="5"/>
      <c r="G573" s="5"/>
      <c r="I573" s="5"/>
    </row>
    <row r="574" spans="3:9" ht="15.75" customHeight="1" x14ac:dyDescent="0.35">
      <c r="C574" s="5"/>
      <c r="E574" s="5"/>
      <c r="F574" s="5"/>
      <c r="G574" s="5"/>
      <c r="I574" s="5"/>
    </row>
    <row r="575" spans="3:9" ht="15.75" customHeight="1" x14ac:dyDescent="0.35">
      <c r="C575" s="5"/>
      <c r="E575" s="5"/>
      <c r="F575" s="5"/>
      <c r="G575" s="5"/>
      <c r="I575" s="5"/>
    </row>
    <row r="576" spans="3:9" ht="15.75" customHeight="1" x14ac:dyDescent="0.35">
      <c r="C576" s="5"/>
      <c r="E576" s="5"/>
      <c r="F576" s="5"/>
      <c r="G576" s="5"/>
      <c r="I576" s="5"/>
    </row>
    <row r="577" spans="3:9" ht="15.75" customHeight="1" x14ac:dyDescent="0.35">
      <c r="C577" s="5"/>
      <c r="E577" s="5"/>
      <c r="F577" s="5"/>
      <c r="G577" s="5"/>
      <c r="I577" s="5"/>
    </row>
    <row r="578" spans="3:9" ht="15.75" customHeight="1" x14ac:dyDescent="0.35">
      <c r="C578" s="5"/>
      <c r="E578" s="5"/>
      <c r="F578" s="5"/>
      <c r="G578" s="5"/>
      <c r="I578" s="5"/>
    </row>
    <row r="579" spans="3:9" ht="15.75" customHeight="1" x14ac:dyDescent="0.35">
      <c r="C579" s="5"/>
      <c r="E579" s="5"/>
      <c r="F579" s="5"/>
      <c r="G579" s="5"/>
      <c r="I579" s="5"/>
    </row>
    <row r="580" spans="3:9" ht="15.75" customHeight="1" x14ac:dyDescent="0.35">
      <c r="C580" s="5"/>
      <c r="E580" s="5"/>
      <c r="F580" s="5"/>
      <c r="G580" s="5"/>
      <c r="I580" s="5"/>
    </row>
    <row r="581" spans="3:9" ht="15.75" customHeight="1" x14ac:dyDescent="0.35">
      <c r="C581" s="5"/>
      <c r="E581" s="5"/>
      <c r="F581" s="5"/>
      <c r="G581" s="5"/>
      <c r="I581" s="5"/>
    </row>
    <row r="582" spans="3:9" ht="15.75" customHeight="1" x14ac:dyDescent="0.35">
      <c r="C582" s="5"/>
      <c r="E582" s="5"/>
      <c r="F582" s="5"/>
      <c r="G582" s="5"/>
      <c r="I582" s="5"/>
    </row>
    <row r="583" spans="3:9" ht="15.75" customHeight="1" x14ac:dyDescent="0.35">
      <c r="C583" s="5"/>
      <c r="E583" s="5"/>
      <c r="F583" s="5"/>
      <c r="G583" s="5"/>
      <c r="I583" s="5"/>
    </row>
    <row r="584" spans="3:9" ht="15.75" customHeight="1" x14ac:dyDescent="0.35">
      <c r="C584" s="5"/>
      <c r="E584" s="5"/>
      <c r="F584" s="5"/>
      <c r="G584" s="5"/>
      <c r="I584" s="5"/>
    </row>
    <row r="585" spans="3:9" ht="15.75" customHeight="1" x14ac:dyDescent="0.35">
      <c r="C585" s="5"/>
      <c r="E585" s="5"/>
      <c r="F585" s="5"/>
      <c r="G585" s="5"/>
      <c r="I585" s="5"/>
    </row>
    <row r="586" spans="3:9" ht="15.75" customHeight="1" x14ac:dyDescent="0.35">
      <c r="C586" s="5"/>
      <c r="E586" s="5"/>
      <c r="F586" s="5"/>
      <c r="G586" s="5"/>
      <c r="I586" s="5"/>
    </row>
    <row r="587" spans="3:9" ht="15.75" customHeight="1" x14ac:dyDescent="0.35">
      <c r="C587" s="5"/>
      <c r="E587" s="5"/>
      <c r="F587" s="5"/>
      <c r="G587" s="5"/>
      <c r="I587" s="5"/>
    </row>
    <row r="588" spans="3:9" ht="15.75" customHeight="1" x14ac:dyDescent="0.35">
      <c r="C588" s="5"/>
      <c r="E588" s="5"/>
      <c r="F588" s="5"/>
      <c r="G588" s="5"/>
      <c r="I588" s="5"/>
    </row>
    <row r="589" spans="3:9" ht="15.75" customHeight="1" x14ac:dyDescent="0.35">
      <c r="C589" s="5"/>
      <c r="E589" s="5"/>
      <c r="F589" s="5"/>
      <c r="G589" s="5"/>
      <c r="I589" s="5"/>
    </row>
    <row r="590" spans="3:9" ht="15.75" customHeight="1" x14ac:dyDescent="0.35">
      <c r="C590" s="5"/>
      <c r="E590" s="5"/>
      <c r="F590" s="5"/>
      <c r="G590" s="5"/>
      <c r="I590" s="5"/>
    </row>
    <row r="591" spans="3:9" ht="15.75" customHeight="1" x14ac:dyDescent="0.35">
      <c r="C591" s="5"/>
      <c r="E591" s="5"/>
      <c r="F591" s="5"/>
      <c r="G591" s="5"/>
      <c r="I591" s="5"/>
    </row>
    <row r="592" spans="3:9" ht="15.75" customHeight="1" x14ac:dyDescent="0.35">
      <c r="C592" s="5"/>
      <c r="E592" s="5"/>
      <c r="F592" s="5"/>
      <c r="G592" s="5"/>
      <c r="I592" s="5"/>
    </row>
    <row r="593" spans="3:9" ht="15.75" customHeight="1" x14ac:dyDescent="0.35">
      <c r="C593" s="5"/>
      <c r="E593" s="5"/>
      <c r="F593" s="5"/>
      <c r="G593" s="5"/>
      <c r="I593" s="5"/>
    </row>
    <row r="594" spans="3:9" ht="15.75" customHeight="1" x14ac:dyDescent="0.35">
      <c r="C594" s="5"/>
      <c r="E594" s="5"/>
      <c r="F594" s="5"/>
      <c r="G594" s="5"/>
      <c r="I594" s="5"/>
    </row>
    <row r="595" spans="3:9" ht="15.75" customHeight="1" x14ac:dyDescent="0.35">
      <c r="C595" s="5"/>
      <c r="E595" s="5"/>
      <c r="F595" s="5"/>
      <c r="G595" s="5"/>
      <c r="I595" s="5"/>
    </row>
    <row r="596" spans="3:9" ht="15.75" customHeight="1" x14ac:dyDescent="0.35">
      <c r="C596" s="5"/>
      <c r="E596" s="5"/>
      <c r="F596" s="5"/>
      <c r="G596" s="5"/>
      <c r="I596" s="5"/>
    </row>
    <row r="597" spans="3:9" ht="15.75" customHeight="1" x14ac:dyDescent="0.35">
      <c r="C597" s="5"/>
      <c r="E597" s="5"/>
      <c r="F597" s="5"/>
      <c r="G597" s="5"/>
      <c r="I597" s="5"/>
    </row>
    <row r="598" spans="3:9" ht="15.75" customHeight="1" x14ac:dyDescent="0.35">
      <c r="C598" s="5"/>
      <c r="E598" s="5"/>
      <c r="F598" s="5"/>
      <c r="G598" s="5"/>
      <c r="I598" s="5"/>
    </row>
    <row r="599" spans="3:9" ht="15.75" customHeight="1" x14ac:dyDescent="0.35">
      <c r="C599" s="5"/>
      <c r="E599" s="5"/>
      <c r="F599" s="5"/>
      <c r="G599" s="5"/>
      <c r="I599" s="5"/>
    </row>
    <row r="600" spans="3:9" ht="15.75" customHeight="1" x14ac:dyDescent="0.35">
      <c r="C600" s="5"/>
      <c r="E600" s="5"/>
      <c r="F600" s="5"/>
      <c r="G600" s="5"/>
      <c r="I600" s="5"/>
    </row>
    <row r="601" spans="3:9" ht="15.75" customHeight="1" x14ac:dyDescent="0.35">
      <c r="C601" s="5"/>
      <c r="E601" s="5"/>
      <c r="F601" s="5"/>
      <c r="G601" s="5"/>
      <c r="I601" s="5"/>
    </row>
    <row r="602" spans="3:9" ht="15.75" customHeight="1" x14ac:dyDescent="0.35">
      <c r="C602" s="5"/>
      <c r="E602" s="5"/>
      <c r="F602" s="5"/>
      <c r="G602" s="5"/>
      <c r="I602" s="5"/>
    </row>
    <row r="603" spans="3:9" ht="15.75" customHeight="1" x14ac:dyDescent="0.35">
      <c r="C603" s="5"/>
      <c r="E603" s="5"/>
      <c r="F603" s="5"/>
      <c r="G603" s="5"/>
      <c r="I603" s="5"/>
    </row>
    <row r="604" spans="3:9" ht="15.75" customHeight="1" x14ac:dyDescent="0.35">
      <c r="C604" s="5"/>
      <c r="E604" s="5"/>
      <c r="F604" s="5"/>
      <c r="G604" s="5"/>
      <c r="I604" s="5"/>
    </row>
    <row r="605" spans="3:9" ht="15.75" customHeight="1" x14ac:dyDescent="0.35">
      <c r="C605" s="5"/>
      <c r="E605" s="5"/>
      <c r="F605" s="5"/>
      <c r="G605" s="5"/>
      <c r="I605" s="5"/>
    </row>
    <row r="606" spans="3:9" ht="15.75" customHeight="1" x14ac:dyDescent="0.35">
      <c r="C606" s="5"/>
      <c r="E606" s="5"/>
      <c r="F606" s="5"/>
      <c r="G606" s="5"/>
      <c r="I606" s="5"/>
    </row>
    <row r="607" spans="3:9" ht="15.75" customHeight="1" x14ac:dyDescent="0.35">
      <c r="C607" s="5"/>
      <c r="E607" s="5"/>
      <c r="F607" s="5"/>
      <c r="G607" s="5"/>
      <c r="I607" s="5"/>
    </row>
    <row r="608" spans="3:9" ht="15.75" customHeight="1" x14ac:dyDescent="0.35">
      <c r="C608" s="5"/>
      <c r="E608" s="5"/>
      <c r="F608" s="5"/>
      <c r="G608" s="5"/>
      <c r="I608" s="5"/>
    </row>
    <row r="609" spans="3:9" ht="15.75" customHeight="1" x14ac:dyDescent="0.35">
      <c r="C609" s="5"/>
      <c r="E609" s="5"/>
      <c r="F609" s="5"/>
      <c r="G609" s="5"/>
      <c r="I609" s="5"/>
    </row>
    <row r="610" spans="3:9" ht="15.75" customHeight="1" x14ac:dyDescent="0.35">
      <c r="C610" s="5"/>
      <c r="E610" s="5"/>
      <c r="F610" s="5"/>
      <c r="G610" s="5"/>
      <c r="I610" s="5"/>
    </row>
    <row r="611" spans="3:9" ht="15.75" customHeight="1" x14ac:dyDescent="0.35">
      <c r="C611" s="5"/>
      <c r="E611" s="5"/>
      <c r="F611" s="5"/>
      <c r="G611" s="5"/>
      <c r="I611" s="5"/>
    </row>
    <row r="612" spans="3:9" ht="15.75" customHeight="1" x14ac:dyDescent="0.35">
      <c r="C612" s="5"/>
      <c r="E612" s="5"/>
      <c r="F612" s="5"/>
      <c r="G612" s="5"/>
      <c r="I612" s="5"/>
    </row>
    <row r="613" spans="3:9" ht="15.75" customHeight="1" x14ac:dyDescent="0.35">
      <c r="C613" s="5"/>
      <c r="E613" s="5"/>
      <c r="F613" s="5"/>
      <c r="G613" s="5"/>
      <c r="I613" s="5"/>
    </row>
    <row r="614" spans="3:9" ht="15.75" customHeight="1" x14ac:dyDescent="0.35">
      <c r="C614" s="5"/>
      <c r="E614" s="5"/>
      <c r="F614" s="5"/>
      <c r="G614" s="5"/>
      <c r="I614" s="5"/>
    </row>
    <row r="615" spans="3:9" ht="15.75" customHeight="1" x14ac:dyDescent="0.35">
      <c r="C615" s="5"/>
      <c r="E615" s="5"/>
      <c r="F615" s="5"/>
      <c r="G615" s="5"/>
      <c r="I615" s="5"/>
    </row>
    <row r="616" spans="3:9" ht="15.75" customHeight="1" x14ac:dyDescent="0.35">
      <c r="C616" s="5"/>
      <c r="E616" s="5"/>
      <c r="F616" s="5"/>
      <c r="G616" s="5"/>
      <c r="I616" s="5"/>
    </row>
    <row r="617" spans="3:9" ht="15.75" customHeight="1" x14ac:dyDescent="0.35">
      <c r="C617" s="5"/>
      <c r="E617" s="5"/>
      <c r="F617" s="5"/>
      <c r="G617" s="5"/>
      <c r="I617" s="5"/>
    </row>
    <row r="618" spans="3:9" ht="15.75" customHeight="1" x14ac:dyDescent="0.35">
      <c r="C618" s="5"/>
      <c r="E618" s="5"/>
      <c r="F618" s="5"/>
      <c r="G618" s="5"/>
      <c r="I618" s="5"/>
    </row>
    <row r="619" spans="3:9" ht="15.75" customHeight="1" x14ac:dyDescent="0.35">
      <c r="C619" s="5"/>
      <c r="E619" s="5"/>
      <c r="F619" s="5"/>
      <c r="G619" s="5"/>
      <c r="I619" s="5"/>
    </row>
    <row r="620" spans="3:9" ht="15.75" customHeight="1" x14ac:dyDescent="0.35">
      <c r="C620" s="5"/>
      <c r="E620" s="5"/>
      <c r="F620" s="5"/>
      <c r="G620" s="5"/>
      <c r="I620" s="5"/>
    </row>
    <row r="621" spans="3:9" ht="15.75" customHeight="1" x14ac:dyDescent="0.35">
      <c r="C621" s="5"/>
      <c r="E621" s="5"/>
      <c r="F621" s="5"/>
      <c r="G621" s="5"/>
      <c r="I621" s="5"/>
    </row>
    <row r="622" spans="3:9" ht="15.75" customHeight="1" x14ac:dyDescent="0.35">
      <c r="C622" s="5"/>
      <c r="E622" s="5"/>
      <c r="F622" s="5"/>
      <c r="G622" s="5"/>
      <c r="I622" s="5"/>
    </row>
    <row r="623" spans="3:9" ht="15.75" customHeight="1" x14ac:dyDescent="0.35">
      <c r="C623" s="5"/>
      <c r="E623" s="5"/>
      <c r="F623" s="5"/>
      <c r="G623" s="5"/>
      <c r="I623" s="5"/>
    </row>
    <row r="624" spans="3:9" ht="15.75" customHeight="1" x14ac:dyDescent="0.35">
      <c r="C624" s="5"/>
      <c r="E624" s="5"/>
      <c r="F624" s="5"/>
      <c r="G624" s="5"/>
      <c r="I624" s="5"/>
    </row>
    <row r="625" spans="3:9" ht="15.75" customHeight="1" x14ac:dyDescent="0.35">
      <c r="C625" s="5"/>
      <c r="E625" s="5"/>
      <c r="F625" s="5"/>
      <c r="G625" s="5"/>
      <c r="I625" s="5"/>
    </row>
    <row r="626" spans="3:9" ht="15.75" customHeight="1" x14ac:dyDescent="0.35">
      <c r="C626" s="5"/>
      <c r="E626" s="5"/>
      <c r="F626" s="5"/>
      <c r="G626" s="5"/>
      <c r="I626" s="5"/>
    </row>
    <row r="627" spans="3:9" ht="15.75" customHeight="1" x14ac:dyDescent="0.35">
      <c r="C627" s="5"/>
      <c r="E627" s="5"/>
      <c r="F627" s="5"/>
      <c r="G627" s="5"/>
      <c r="I627" s="5"/>
    </row>
    <row r="628" spans="3:9" ht="15.75" customHeight="1" x14ac:dyDescent="0.35">
      <c r="C628" s="5"/>
      <c r="E628" s="5"/>
      <c r="F628" s="5"/>
      <c r="G628" s="5"/>
      <c r="I628" s="5"/>
    </row>
    <row r="629" spans="3:9" ht="15.75" customHeight="1" x14ac:dyDescent="0.35">
      <c r="C629" s="5"/>
      <c r="E629" s="5"/>
      <c r="F629" s="5"/>
      <c r="G629" s="5"/>
      <c r="I629" s="5"/>
    </row>
    <row r="630" spans="3:9" ht="15.75" customHeight="1" x14ac:dyDescent="0.35">
      <c r="C630" s="5"/>
      <c r="E630" s="5"/>
      <c r="F630" s="5"/>
      <c r="G630" s="5"/>
      <c r="I630" s="5"/>
    </row>
    <row r="631" spans="3:9" ht="15.75" customHeight="1" x14ac:dyDescent="0.35">
      <c r="C631" s="5"/>
      <c r="E631" s="5"/>
      <c r="F631" s="5"/>
      <c r="G631" s="5"/>
      <c r="I631" s="5"/>
    </row>
    <row r="632" spans="3:9" ht="15.75" customHeight="1" x14ac:dyDescent="0.35">
      <c r="C632" s="5"/>
      <c r="E632" s="5"/>
      <c r="F632" s="5"/>
      <c r="G632" s="5"/>
      <c r="I632" s="5"/>
    </row>
    <row r="633" spans="3:9" ht="15.75" customHeight="1" x14ac:dyDescent="0.35">
      <c r="C633" s="5"/>
      <c r="E633" s="5"/>
      <c r="F633" s="5"/>
      <c r="G633" s="5"/>
      <c r="I633" s="5"/>
    </row>
    <row r="634" spans="3:9" ht="15.75" customHeight="1" x14ac:dyDescent="0.35">
      <c r="C634" s="5"/>
      <c r="E634" s="5"/>
      <c r="F634" s="5"/>
      <c r="G634" s="5"/>
      <c r="I634" s="5"/>
    </row>
    <row r="635" spans="3:9" ht="15.75" customHeight="1" x14ac:dyDescent="0.35">
      <c r="C635" s="5"/>
      <c r="E635" s="5"/>
      <c r="F635" s="5"/>
      <c r="G635" s="5"/>
      <c r="I635" s="5"/>
    </row>
    <row r="636" spans="3:9" ht="15.75" customHeight="1" x14ac:dyDescent="0.35">
      <c r="C636" s="5"/>
      <c r="E636" s="5"/>
      <c r="F636" s="5"/>
      <c r="G636" s="5"/>
      <c r="I636" s="5"/>
    </row>
    <row r="637" spans="3:9" ht="15.75" customHeight="1" x14ac:dyDescent="0.35">
      <c r="C637" s="5"/>
      <c r="E637" s="5"/>
      <c r="F637" s="5"/>
      <c r="G637" s="5"/>
      <c r="I637" s="5"/>
    </row>
    <row r="638" spans="3:9" ht="15.75" customHeight="1" x14ac:dyDescent="0.35">
      <c r="C638" s="5"/>
      <c r="E638" s="5"/>
      <c r="F638" s="5"/>
      <c r="G638" s="5"/>
      <c r="I638" s="5"/>
    </row>
    <row r="639" spans="3:9" ht="15.75" customHeight="1" x14ac:dyDescent="0.35">
      <c r="C639" s="5"/>
      <c r="E639" s="5"/>
      <c r="F639" s="5"/>
      <c r="G639" s="5"/>
      <c r="I639" s="5"/>
    </row>
    <row r="640" spans="3:9" ht="15.75" customHeight="1" x14ac:dyDescent="0.35">
      <c r="C640" s="5"/>
      <c r="E640" s="5"/>
      <c r="F640" s="5"/>
      <c r="G640" s="5"/>
      <c r="I640" s="5"/>
    </row>
    <row r="641" spans="3:9" ht="15.75" customHeight="1" x14ac:dyDescent="0.35">
      <c r="C641" s="5"/>
      <c r="E641" s="5"/>
      <c r="F641" s="5"/>
      <c r="G641" s="5"/>
      <c r="I641" s="5"/>
    </row>
    <row r="642" spans="3:9" ht="15.75" customHeight="1" x14ac:dyDescent="0.35">
      <c r="C642" s="5"/>
      <c r="E642" s="5"/>
      <c r="F642" s="5"/>
      <c r="G642" s="5"/>
      <c r="I642" s="5"/>
    </row>
    <row r="643" spans="3:9" ht="15.75" customHeight="1" x14ac:dyDescent="0.35">
      <c r="C643" s="5"/>
      <c r="E643" s="5"/>
      <c r="F643" s="5"/>
      <c r="G643" s="5"/>
      <c r="I643" s="5"/>
    </row>
    <row r="644" spans="3:9" ht="15.75" customHeight="1" x14ac:dyDescent="0.35">
      <c r="C644" s="5"/>
      <c r="E644" s="5"/>
      <c r="F644" s="5"/>
      <c r="G644" s="5"/>
      <c r="I644" s="5"/>
    </row>
    <row r="645" spans="3:9" ht="15.75" customHeight="1" x14ac:dyDescent="0.35">
      <c r="C645" s="5"/>
      <c r="E645" s="5"/>
      <c r="F645" s="5"/>
      <c r="G645" s="5"/>
      <c r="I645" s="5"/>
    </row>
    <row r="646" spans="3:9" ht="15.75" customHeight="1" x14ac:dyDescent="0.35">
      <c r="C646" s="5"/>
      <c r="E646" s="5"/>
      <c r="F646" s="5"/>
      <c r="G646" s="5"/>
      <c r="I646" s="5"/>
    </row>
    <row r="647" spans="3:9" ht="15.75" customHeight="1" x14ac:dyDescent="0.35">
      <c r="C647" s="5"/>
      <c r="E647" s="5"/>
      <c r="F647" s="5"/>
      <c r="G647" s="5"/>
      <c r="I647" s="5"/>
    </row>
    <row r="648" spans="3:9" ht="15.75" customHeight="1" x14ac:dyDescent="0.35">
      <c r="C648" s="5"/>
      <c r="E648" s="5"/>
      <c r="F648" s="5"/>
      <c r="G648" s="5"/>
      <c r="I648" s="5"/>
    </row>
    <row r="649" spans="3:9" ht="15.75" customHeight="1" x14ac:dyDescent="0.35">
      <c r="C649" s="5"/>
      <c r="E649" s="5"/>
      <c r="F649" s="5"/>
      <c r="G649" s="5"/>
      <c r="I649" s="5"/>
    </row>
    <row r="650" spans="3:9" ht="15.75" customHeight="1" x14ac:dyDescent="0.35">
      <c r="C650" s="5"/>
      <c r="E650" s="5"/>
      <c r="F650" s="5"/>
      <c r="G650" s="5"/>
      <c r="I650" s="5"/>
    </row>
    <row r="651" spans="3:9" ht="15.75" customHeight="1" x14ac:dyDescent="0.35">
      <c r="C651" s="5"/>
      <c r="E651" s="5"/>
      <c r="F651" s="5"/>
      <c r="G651" s="5"/>
      <c r="I651" s="5"/>
    </row>
    <row r="652" spans="3:9" ht="15.75" customHeight="1" x14ac:dyDescent="0.35">
      <c r="C652" s="5"/>
      <c r="E652" s="5"/>
      <c r="F652" s="5"/>
      <c r="G652" s="5"/>
      <c r="I652" s="5"/>
    </row>
    <row r="653" spans="3:9" ht="15.75" customHeight="1" x14ac:dyDescent="0.35">
      <c r="C653" s="5"/>
      <c r="E653" s="5"/>
      <c r="F653" s="5"/>
      <c r="G653" s="5"/>
      <c r="I653" s="5"/>
    </row>
    <row r="654" spans="3:9" ht="15.75" customHeight="1" x14ac:dyDescent="0.35">
      <c r="C654" s="5"/>
      <c r="E654" s="5"/>
      <c r="F654" s="5"/>
      <c r="G654" s="5"/>
      <c r="I654" s="5"/>
    </row>
    <row r="655" spans="3:9" ht="15.75" customHeight="1" x14ac:dyDescent="0.35">
      <c r="C655" s="5"/>
      <c r="E655" s="5"/>
      <c r="F655" s="5"/>
      <c r="G655" s="5"/>
      <c r="I655" s="5"/>
    </row>
    <row r="656" spans="3:9" ht="15.75" customHeight="1" x14ac:dyDescent="0.35">
      <c r="C656" s="5"/>
      <c r="E656" s="5"/>
      <c r="F656" s="5"/>
      <c r="G656" s="5"/>
      <c r="I656" s="5"/>
    </row>
    <row r="657" spans="3:9" ht="15.75" customHeight="1" x14ac:dyDescent="0.35">
      <c r="C657" s="5"/>
      <c r="E657" s="5"/>
      <c r="F657" s="5"/>
      <c r="G657" s="5"/>
      <c r="I657" s="5"/>
    </row>
    <row r="658" spans="3:9" ht="15.75" customHeight="1" x14ac:dyDescent="0.35">
      <c r="C658" s="5"/>
      <c r="E658" s="5"/>
      <c r="F658" s="5"/>
      <c r="G658" s="5"/>
      <c r="I658" s="5"/>
    </row>
    <row r="659" spans="3:9" ht="15.75" customHeight="1" x14ac:dyDescent="0.35">
      <c r="C659" s="5"/>
      <c r="E659" s="5"/>
      <c r="F659" s="5"/>
      <c r="G659" s="5"/>
      <c r="I659" s="5"/>
    </row>
    <row r="660" spans="3:9" ht="15.75" customHeight="1" x14ac:dyDescent="0.35">
      <c r="C660" s="5"/>
      <c r="E660" s="5"/>
      <c r="F660" s="5"/>
      <c r="G660" s="5"/>
      <c r="I660" s="5"/>
    </row>
    <row r="661" spans="3:9" ht="15.75" customHeight="1" x14ac:dyDescent="0.35">
      <c r="C661" s="5"/>
      <c r="E661" s="5"/>
      <c r="F661" s="5"/>
      <c r="G661" s="5"/>
      <c r="I661" s="5"/>
    </row>
    <row r="662" spans="3:9" ht="15.75" customHeight="1" x14ac:dyDescent="0.35">
      <c r="C662" s="5"/>
      <c r="E662" s="5"/>
      <c r="F662" s="5"/>
      <c r="G662" s="5"/>
      <c r="I662" s="5"/>
    </row>
    <row r="663" spans="3:9" ht="15.75" customHeight="1" x14ac:dyDescent="0.35">
      <c r="C663" s="5"/>
      <c r="E663" s="5"/>
      <c r="F663" s="5"/>
      <c r="G663" s="5"/>
      <c r="I663" s="5"/>
    </row>
    <row r="664" spans="3:9" ht="15.75" customHeight="1" x14ac:dyDescent="0.35">
      <c r="C664" s="5"/>
      <c r="E664" s="5"/>
      <c r="F664" s="5"/>
      <c r="G664" s="5"/>
      <c r="I664" s="5"/>
    </row>
    <row r="665" spans="3:9" ht="15.75" customHeight="1" x14ac:dyDescent="0.35">
      <c r="C665" s="5"/>
      <c r="E665" s="5"/>
      <c r="F665" s="5"/>
      <c r="G665" s="5"/>
      <c r="I665" s="5"/>
    </row>
    <row r="666" spans="3:9" ht="15.75" customHeight="1" x14ac:dyDescent="0.35">
      <c r="C666" s="5"/>
      <c r="E666" s="5"/>
      <c r="F666" s="5"/>
      <c r="G666" s="5"/>
      <c r="I666" s="5"/>
    </row>
    <row r="667" spans="3:9" ht="15.75" customHeight="1" x14ac:dyDescent="0.35">
      <c r="C667" s="5"/>
      <c r="E667" s="5"/>
      <c r="F667" s="5"/>
      <c r="G667" s="5"/>
      <c r="I667" s="5"/>
    </row>
    <row r="668" spans="3:9" ht="15.75" customHeight="1" x14ac:dyDescent="0.35">
      <c r="C668" s="5"/>
      <c r="E668" s="5"/>
      <c r="F668" s="5"/>
      <c r="G668" s="5"/>
      <c r="I668" s="5"/>
    </row>
    <row r="669" spans="3:9" ht="15.75" customHeight="1" x14ac:dyDescent="0.35">
      <c r="C669" s="5"/>
      <c r="E669" s="5"/>
      <c r="F669" s="5"/>
      <c r="G669" s="5"/>
      <c r="I669" s="5"/>
    </row>
    <row r="670" spans="3:9" ht="15.75" customHeight="1" x14ac:dyDescent="0.35">
      <c r="C670" s="5"/>
      <c r="E670" s="5"/>
      <c r="F670" s="5"/>
      <c r="G670" s="5"/>
      <c r="I670" s="5"/>
    </row>
    <row r="671" spans="3:9" ht="15.75" customHeight="1" x14ac:dyDescent="0.35">
      <c r="C671" s="5"/>
      <c r="E671" s="5"/>
      <c r="F671" s="5"/>
      <c r="G671" s="5"/>
      <c r="I671" s="5"/>
    </row>
    <row r="672" spans="3:9" ht="15.75" customHeight="1" x14ac:dyDescent="0.35">
      <c r="C672" s="5"/>
      <c r="E672" s="5"/>
      <c r="F672" s="5"/>
      <c r="G672" s="5"/>
      <c r="I672" s="5"/>
    </row>
    <row r="673" spans="3:9" ht="15.75" customHeight="1" x14ac:dyDescent="0.35">
      <c r="C673" s="5"/>
      <c r="E673" s="5"/>
      <c r="F673" s="5"/>
      <c r="G673" s="5"/>
      <c r="I673" s="5"/>
    </row>
    <row r="674" spans="3:9" ht="15.75" customHeight="1" x14ac:dyDescent="0.35">
      <c r="C674" s="5"/>
      <c r="E674" s="5"/>
      <c r="F674" s="5"/>
      <c r="G674" s="5"/>
      <c r="I674" s="5"/>
    </row>
    <row r="675" spans="3:9" ht="15.75" customHeight="1" x14ac:dyDescent="0.35">
      <c r="C675" s="5"/>
      <c r="E675" s="5"/>
      <c r="F675" s="5"/>
      <c r="G675" s="5"/>
      <c r="I675" s="5"/>
    </row>
    <row r="676" spans="3:9" ht="15.75" customHeight="1" x14ac:dyDescent="0.35">
      <c r="C676" s="5"/>
      <c r="E676" s="5"/>
      <c r="F676" s="5"/>
      <c r="G676" s="5"/>
      <c r="I676" s="5"/>
    </row>
    <row r="677" spans="3:9" ht="15.75" customHeight="1" x14ac:dyDescent="0.35">
      <c r="C677" s="5"/>
      <c r="E677" s="5"/>
      <c r="F677" s="5"/>
      <c r="G677" s="5"/>
      <c r="I677" s="5"/>
    </row>
    <row r="678" spans="3:9" ht="15.75" customHeight="1" x14ac:dyDescent="0.35">
      <c r="C678" s="5"/>
      <c r="E678" s="5"/>
      <c r="F678" s="5"/>
      <c r="G678" s="5"/>
      <c r="I678" s="5"/>
    </row>
    <row r="679" spans="3:9" ht="15.75" customHeight="1" x14ac:dyDescent="0.35">
      <c r="C679" s="5"/>
      <c r="E679" s="5"/>
      <c r="F679" s="5"/>
      <c r="G679" s="5"/>
      <c r="I679" s="5"/>
    </row>
    <row r="680" spans="3:9" ht="15.75" customHeight="1" x14ac:dyDescent="0.35">
      <c r="C680" s="5"/>
      <c r="E680" s="5"/>
      <c r="F680" s="5"/>
      <c r="G680" s="5"/>
      <c r="I680" s="5"/>
    </row>
    <row r="681" spans="3:9" ht="15.75" customHeight="1" x14ac:dyDescent="0.35">
      <c r="C681" s="5"/>
      <c r="E681" s="5"/>
      <c r="F681" s="5"/>
      <c r="G681" s="5"/>
      <c r="I681" s="5"/>
    </row>
    <row r="682" spans="3:9" ht="15.75" customHeight="1" x14ac:dyDescent="0.35">
      <c r="C682" s="5"/>
      <c r="E682" s="5"/>
      <c r="F682" s="5"/>
      <c r="G682" s="5"/>
      <c r="I682" s="5"/>
    </row>
    <row r="683" spans="3:9" ht="15.75" customHeight="1" x14ac:dyDescent="0.35">
      <c r="C683" s="5"/>
      <c r="E683" s="5"/>
      <c r="F683" s="5"/>
      <c r="G683" s="5"/>
      <c r="I683" s="5"/>
    </row>
    <row r="684" spans="3:9" ht="15.75" customHeight="1" x14ac:dyDescent="0.35">
      <c r="C684" s="5"/>
      <c r="E684" s="5"/>
      <c r="F684" s="5"/>
      <c r="G684" s="5"/>
      <c r="I684" s="5"/>
    </row>
    <row r="685" spans="3:9" ht="15.75" customHeight="1" x14ac:dyDescent="0.35">
      <c r="C685" s="5"/>
      <c r="E685" s="5"/>
      <c r="F685" s="5"/>
      <c r="G685" s="5"/>
      <c r="I685" s="5"/>
    </row>
    <row r="686" spans="3:9" ht="15.75" customHeight="1" x14ac:dyDescent="0.35">
      <c r="C686" s="5"/>
      <c r="E686" s="5"/>
      <c r="F686" s="5"/>
      <c r="G686" s="5"/>
      <c r="I686" s="5"/>
    </row>
    <row r="687" spans="3:9" ht="15.75" customHeight="1" x14ac:dyDescent="0.35">
      <c r="C687" s="5"/>
      <c r="E687" s="5"/>
      <c r="F687" s="5"/>
      <c r="G687" s="5"/>
      <c r="I687" s="5"/>
    </row>
    <row r="688" spans="3:9" ht="15.75" customHeight="1" x14ac:dyDescent="0.35">
      <c r="C688" s="5"/>
      <c r="E688" s="5"/>
      <c r="F688" s="5"/>
      <c r="G688" s="5"/>
      <c r="I688" s="5"/>
    </row>
    <row r="689" spans="3:9" ht="15.75" customHeight="1" x14ac:dyDescent="0.35">
      <c r="C689" s="5"/>
      <c r="E689" s="5"/>
      <c r="F689" s="5"/>
      <c r="G689" s="5"/>
      <c r="I689" s="5"/>
    </row>
    <row r="690" spans="3:9" ht="15.75" customHeight="1" x14ac:dyDescent="0.35">
      <c r="C690" s="5"/>
      <c r="E690" s="5"/>
      <c r="F690" s="5"/>
      <c r="G690" s="5"/>
      <c r="I690" s="5"/>
    </row>
    <row r="691" spans="3:9" ht="15.75" customHeight="1" x14ac:dyDescent="0.35">
      <c r="C691" s="5"/>
      <c r="E691" s="5"/>
      <c r="F691" s="5"/>
      <c r="G691" s="5"/>
      <c r="I691" s="5"/>
    </row>
    <row r="692" spans="3:9" ht="15.75" customHeight="1" x14ac:dyDescent="0.35">
      <c r="C692" s="5"/>
      <c r="E692" s="5"/>
      <c r="F692" s="5"/>
      <c r="G692" s="5"/>
      <c r="I692" s="5"/>
    </row>
    <row r="693" spans="3:9" ht="15.75" customHeight="1" x14ac:dyDescent="0.35">
      <c r="C693" s="5"/>
      <c r="E693" s="5"/>
      <c r="F693" s="5"/>
      <c r="G693" s="5"/>
      <c r="I693" s="5"/>
    </row>
    <row r="694" spans="3:9" ht="15.75" customHeight="1" x14ac:dyDescent="0.35">
      <c r="C694" s="5"/>
      <c r="E694" s="5"/>
      <c r="F694" s="5"/>
      <c r="G694" s="5"/>
      <c r="I694" s="5"/>
    </row>
    <row r="695" spans="3:9" ht="15.75" customHeight="1" x14ac:dyDescent="0.35">
      <c r="C695" s="5"/>
      <c r="E695" s="5"/>
      <c r="F695" s="5"/>
      <c r="G695" s="5"/>
      <c r="I695" s="5"/>
    </row>
    <row r="696" spans="3:9" ht="15.75" customHeight="1" x14ac:dyDescent="0.35">
      <c r="C696" s="5"/>
      <c r="E696" s="5"/>
      <c r="F696" s="5"/>
      <c r="G696" s="5"/>
      <c r="I696" s="5"/>
    </row>
    <row r="697" spans="3:9" ht="15.75" customHeight="1" x14ac:dyDescent="0.35">
      <c r="C697" s="5"/>
      <c r="E697" s="5"/>
      <c r="F697" s="5"/>
      <c r="G697" s="5"/>
      <c r="I697" s="5"/>
    </row>
    <row r="698" spans="3:9" ht="15.75" customHeight="1" x14ac:dyDescent="0.35">
      <c r="C698" s="5"/>
      <c r="E698" s="5"/>
      <c r="F698" s="5"/>
      <c r="G698" s="5"/>
      <c r="I698" s="5"/>
    </row>
    <row r="699" spans="3:9" ht="15.75" customHeight="1" x14ac:dyDescent="0.35">
      <c r="C699" s="5"/>
      <c r="E699" s="5"/>
      <c r="F699" s="5"/>
      <c r="G699" s="5"/>
      <c r="I699" s="5"/>
    </row>
    <row r="700" spans="3:9" ht="15.75" customHeight="1" x14ac:dyDescent="0.35">
      <c r="C700" s="5"/>
      <c r="E700" s="5"/>
      <c r="F700" s="5"/>
      <c r="G700" s="5"/>
      <c r="I700" s="5"/>
    </row>
    <row r="701" spans="3:9" ht="15.75" customHeight="1" x14ac:dyDescent="0.35">
      <c r="C701" s="5"/>
      <c r="E701" s="5"/>
      <c r="F701" s="5"/>
      <c r="G701" s="5"/>
      <c r="I701" s="5"/>
    </row>
    <row r="702" spans="3:9" ht="15.75" customHeight="1" x14ac:dyDescent="0.35">
      <c r="C702" s="5"/>
      <c r="E702" s="5"/>
      <c r="F702" s="5"/>
      <c r="G702" s="5"/>
      <c r="I702" s="5"/>
    </row>
    <row r="703" spans="3:9" ht="15.75" customHeight="1" x14ac:dyDescent="0.35">
      <c r="C703" s="5"/>
      <c r="E703" s="5"/>
      <c r="F703" s="5"/>
      <c r="G703" s="5"/>
      <c r="I703" s="5"/>
    </row>
    <row r="704" spans="3:9" ht="15.75" customHeight="1" x14ac:dyDescent="0.35">
      <c r="C704" s="5"/>
      <c r="E704" s="5"/>
      <c r="F704" s="5"/>
      <c r="G704" s="5"/>
      <c r="I704" s="5"/>
    </row>
    <row r="705" spans="3:9" ht="15.75" customHeight="1" x14ac:dyDescent="0.35">
      <c r="C705" s="5"/>
      <c r="E705" s="5"/>
      <c r="F705" s="5"/>
      <c r="G705" s="5"/>
      <c r="I705" s="5"/>
    </row>
    <row r="706" spans="3:9" ht="15.75" customHeight="1" x14ac:dyDescent="0.35">
      <c r="C706" s="5"/>
      <c r="E706" s="5"/>
      <c r="F706" s="5"/>
      <c r="G706" s="5"/>
      <c r="I706" s="5"/>
    </row>
    <row r="707" spans="3:9" ht="15.75" customHeight="1" x14ac:dyDescent="0.35">
      <c r="C707" s="5"/>
      <c r="E707" s="5"/>
      <c r="F707" s="5"/>
      <c r="G707" s="5"/>
      <c r="I707" s="5"/>
    </row>
    <row r="708" spans="3:9" ht="15.75" customHeight="1" x14ac:dyDescent="0.35">
      <c r="C708" s="5"/>
      <c r="E708" s="5"/>
      <c r="F708" s="5"/>
      <c r="G708" s="5"/>
      <c r="I708" s="5"/>
    </row>
    <row r="709" spans="3:9" ht="15.75" customHeight="1" x14ac:dyDescent="0.35">
      <c r="C709" s="5"/>
      <c r="E709" s="5"/>
      <c r="F709" s="5"/>
      <c r="G709" s="5"/>
      <c r="I709" s="5"/>
    </row>
    <row r="710" spans="3:9" ht="15.75" customHeight="1" x14ac:dyDescent="0.35">
      <c r="C710" s="5"/>
      <c r="E710" s="5"/>
      <c r="F710" s="5"/>
      <c r="G710" s="5"/>
      <c r="I710" s="5"/>
    </row>
    <row r="711" spans="3:9" ht="15.75" customHeight="1" x14ac:dyDescent="0.35">
      <c r="C711" s="5"/>
      <c r="E711" s="5"/>
      <c r="F711" s="5"/>
      <c r="G711" s="5"/>
      <c r="I711" s="5"/>
    </row>
    <row r="712" spans="3:9" ht="15.75" customHeight="1" x14ac:dyDescent="0.35">
      <c r="C712" s="5"/>
      <c r="E712" s="5"/>
      <c r="F712" s="5"/>
      <c r="G712" s="5"/>
      <c r="I712" s="5"/>
    </row>
    <row r="713" spans="3:9" ht="15.75" customHeight="1" x14ac:dyDescent="0.35">
      <c r="C713" s="5"/>
      <c r="E713" s="5"/>
      <c r="F713" s="5"/>
      <c r="G713" s="5"/>
      <c r="I713" s="5"/>
    </row>
    <row r="714" spans="3:9" ht="15.75" customHeight="1" x14ac:dyDescent="0.35">
      <c r="C714" s="5"/>
      <c r="E714" s="5"/>
      <c r="F714" s="5"/>
      <c r="G714" s="5"/>
      <c r="I714" s="5"/>
    </row>
    <row r="715" spans="3:9" ht="15.75" customHeight="1" x14ac:dyDescent="0.35">
      <c r="C715" s="5"/>
      <c r="E715" s="5"/>
      <c r="F715" s="5"/>
      <c r="G715" s="5"/>
      <c r="I715" s="5"/>
    </row>
    <row r="716" spans="3:9" ht="15.75" customHeight="1" x14ac:dyDescent="0.35">
      <c r="C716" s="5"/>
      <c r="E716" s="5"/>
      <c r="F716" s="5"/>
      <c r="G716" s="5"/>
      <c r="I716" s="5"/>
    </row>
    <row r="717" spans="3:9" ht="15.75" customHeight="1" x14ac:dyDescent="0.35">
      <c r="C717" s="5"/>
      <c r="E717" s="5"/>
      <c r="F717" s="5"/>
      <c r="G717" s="5"/>
      <c r="I717" s="5"/>
    </row>
    <row r="718" spans="3:9" ht="15.75" customHeight="1" x14ac:dyDescent="0.35">
      <c r="C718" s="5"/>
      <c r="E718" s="5"/>
      <c r="F718" s="5"/>
      <c r="G718" s="5"/>
      <c r="I718" s="5"/>
    </row>
    <row r="719" spans="3:9" ht="15.75" customHeight="1" x14ac:dyDescent="0.35">
      <c r="C719" s="5"/>
      <c r="E719" s="5"/>
      <c r="F719" s="5"/>
      <c r="G719" s="5"/>
      <c r="I719" s="5"/>
    </row>
    <row r="720" spans="3:9" ht="15.75" customHeight="1" x14ac:dyDescent="0.35">
      <c r="C720" s="5"/>
      <c r="E720" s="5"/>
      <c r="F720" s="5"/>
      <c r="G720" s="5"/>
      <c r="I720" s="5"/>
    </row>
    <row r="721" spans="3:9" ht="15.75" customHeight="1" x14ac:dyDescent="0.35">
      <c r="C721" s="5"/>
      <c r="E721" s="5"/>
      <c r="F721" s="5"/>
      <c r="G721" s="5"/>
      <c r="I721" s="5"/>
    </row>
    <row r="722" spans="3:9" ht="15.75" customHeight="1" x14ac:dyDescent="0.35">
      <c r="C722" s="5"/>
      <c r="E722" s="5"/>
      <c r="F722" s="5"/>
      <c r="G722" s="5"/>
      <c r="I722" s="5"/>
    </row>
    <row r="723" spans="3:9" ht="15.75" customHeight="1" x14ac:dyDescent="0.35">
      <c r="C723" s="5"/>
      <c r="E723" s="5"/>
      <c r="F723" s="5"/>
      <c r="G723" s="5"/>
      <c r="I723" s="5"/>
    </row>
    <row r="724" spans="3:9" ht="15.75" customHeight="1" x14ac:dyDescent="0.35">
      <c r="C724" s="5"/>
      <c r="E724" s="5"/>
      <c r="F724" s="5"/>
      <c r="G724" s="5"/>
      <c r="I724" s="5"/>
    </row>
    <row r="725" spans="3:9" ht="15.75" customHeight="1" x14ac:dyDescent="0.35">
      <c r="C725" s="5"/>
      <c r="E725" s="5"/>
      <c r="F725" s="5"/>
      <c r="G725" s="5"/>
      <c r="I725" s="5"/>
    </row>
    <row r="726" spans="3:9" ht="15.75" customHeight="1" x14ac:dyDescent="0.35">
      <c r="C726" s="5"/>
      <c r="E726" s="5"/>
      <c r="F726" s="5"/>
      <c r="G726" s="5"/>
      <c r="I726" s="5"/>
    </row>
    <row r="727" spans="3:9" ht="15.75" customHeight="1" x14ac:dyDescent="0.35">
      <c r="C727" s="5"/>
      <c r="E727" s="5"/>
      <c r="F727" s="5"/>
      <c r="G727" s="5"/>
      <c r="I727" s="5"/>
    </row>
    <row r="728" spans="3:9" ht="15.75" customHeight="1" x14ac:dyDescent="0.35">
      <c r="C728" s="5"/>
      <c r="E728" s="5"/>
      <c r="F728" s="5"/>
      <c r="G728" s="5"/>
      <c r="I728" s="5"/>
    </row>
    <row r="729" spans="3:9" ht="15.75" customHeight="1" x14ac:dyDescent="0.35">
      <c r="C729" s="5"/>
      <c r="E729" s="5"/>
      <c r="F729" s="5"/>
      <c r="G729" s="5"/>
      <c r="I729" s="5"/>
    </row>
    <row r="730" spans="3:9" ht="15.75" customHeight="1" x14ac:dyDescent="0.35">
      <c r="C730" s="5"/>
      <c r="E730" s="5"/>
      <c r="F730" s="5"/>
      <c r="G730" s="5"/>
      <c r="I730" s="5"/>
    </row>
    <row r="731" spans="3:9" ht="15.75" customHeight="1" x14ac:dyDescent="0.35">
      <c r="C731" s="5"/>
      <c r="E731" s="5"/>
      <c r="F731" s="5"/>
      <c r="G731" s="5"/>
      <c r="I731" s="5"/>
    </row>
    <row r="732" spans="3:9" ht="15.75" customHeight="1" x14ac:dyDescent="0.35">
      <c r="C732" s="5"/>
      <c r="E732" s="5"/>
      <c r="F732" s="5"/>
      <c r="G732" s="5"/>
      <c r="I732" s="5"/>
    </row>
    <row r="733" spans="3:9" ht="15.75" customHeight="1" x14ac:dyDescent="0.35">
      <c r="C733" s="5"/>
      <c r="E733" s="5"/>
      <c r="F733" s="5"/>
      <c r="G733" s="5"/>
      <c r="I733" s="5"/>
    </row>
    <row r="734" spans="3:9" ht="15.75" customHeight="1" x14ac:dyDescent="0.35">
      <c r="C734" s="5"/>
      <c r="E734" s="5"/>
      <c r="F734" s="5"/>
      <c r="G734" s="5"/>
      <c r="I734" s="5"/>
    </row>
    <row r="735" spans="3:9" ht="15.75" customHeight="1" x14ac:dyDescent="0.35">
      <c r="C735" s="5"/>
      <c r="E735" s="5"/>
      <c r="F735" s="5"/>
      <c r="G735" s="5"/>
      <c r="I735" s="5"/>
    </row>
    <row r="736" spans="3:9" ht="15.75" customHeight="1" x14ac:dyDescent="0.35">
      <c r="C736" s="5"/>
      <c r="E736" s="5"/>
      <c r="F736" s="5"/>
      <c r="G736" s="5"/>
      <c r="I736" s="5"/>
    </row>
    <row r="737" spans="3:9" ht="15.75" customHeight="1" x14ac:dyDescent="0.35">
      <c r="C737" s="5"/>
      <c r="E737" s="5"/>
      <c r="F737" s="5"/>
      <c r="G737" s="5"/>
      <c r="I737" s="5"/>
    </row>
    <row r="738" spans="3:9" ht="15.75" customHeight="1" x14ac:dyDescent="0.35">
      <c r="C738" s="5"/>
      <c r="E738" s="5"/>
      <c r="F738" s="5"/>
      <c r="G738" s="5"/>
      <c r="I738" s="5"/>
    </row>
    <row r="739" spans="3:9" ht="15.75" customHeight="1" x14ac:dyDescent="0.35">
      <c r="C739" s="5"/>
      <c r="E739" s="5"/>
      <c r="F739" s="5"/>
      <c r="G739" s="5"/>
      <c r="I739" s="5"/>
    </row>
    <row r="740" spans="3:9" ht="15.75" customHeight="1" x14ac:dyDescent="0.35">
      <c r="C740" s="5"/>
      <c r="E740" s="5"/>
      <c r="F740" s="5"/>
      <c r="G740" s="5"/>
      <c r="I740" s="5"/>
    </row>
    <row r="741" spans="3:9" ht="15.75" customHeight="1" x14ac:dyDescent="0.35">
      <c r="C741" s="5"/>
      <c r="E741" s="5"/>
      <c r="F741" s="5"/>
      <c r="G741" s="5"/>
      <c r="I741" s="5"/>
    </row>
    <row r="742" spans="3:9" ht="15.75" customHeight="1" x14ac:dyDescent="0.35">
      <c r="C742" s="5"/>
      <c r="E742" s="5"/>
      <c r="F742" s="5"/>
      <c r="G742" s="5"/>
      <c r="I742" s="5"/>
    </row>
    <row r="743" spans="3:9" ht="15.75" customHeight="1" x14ac:dyDescent="0.35">
      <c r="C743" s="5"/>
      <c r="E743" s="5"/>
      <c r="F743" s="5"/>
      <c r="G743" s="5"/>
      <c r="I743" s="5"/>
    </row>
    <row r="744" spans="3:9" ht="15.75" customHeight="1" x14ac:dyDescent="0.35">
      <c r="C744" s="5"/>
      <c r="E744" s="5"/>
      <c r="F744" s="5"/>
      <c r="G744" s="5"/>
      <c r="I744" s="5"/>
    </row>
    <row r="745" spans="3:9" ht="15.75" customHeight="1" x14ac:dyDescent="0.35">
      <c r="C745" s="5"/>
      <c r="E745" s="5"/>
      <c r="F745" s="5"/>
      <c r="G745" s="5"/>
      <c r="I745" s="5"/>
    </row>
    <row r="746" spans="3:9" ht="15.75" customHeight="1" x14ac:dyDescent="0.35">
      <c r="C746" s="5"/>
      <c r="E746" s="5"/>
      <c r="F746" s="5"/>
      <c r="G746" s="5"/>
      <c r="I746" s="5"/>
    </row>
    <row r="747" spans="3:9" ht="15.75" customHeight="1" x14ac:dyDescent="0.35">
      <c r="C747" s="5"/>
      <c r="E747" s="5"/>
      <c r="F747" s="5"/>
      <c r="G747" s="5"/>
      <c r="I747" s="5"/>
    </row>
    <row r="748" spans="3:9" ht="15.75" customHeight="1" x14ac:dyDescent="0.35">
      <c r="C748" s="5"/>
      <c r="E748" s="5"/>
      <c r="F748" s="5"/>
      <c r="G748" s="5"/>
      <c r="I748" s="5"/>
    </row>
    <row r="749" spans="3:9" ht="15.75" customHeight="1" x14ac:dyDescent="0.35">
      <c r="C749" s="5"/>
      <c r="E749" s="5"/>
      <c r="F749" s="5"/>
      <c r="G749" s="5"/>
      <c r="I749" s="5"/>
    </row>
    <row r="750" spans="3:9" ht="15.75" customHeight="1" x14ac:dyDescent="0.35">
      <c r="C750" s="5"/>
      <c r="E750" s="5"/>
      <c r="F750" s="5"/>
      <c r="G750" s="5"/>
      <c r="I750" s="5"/>
    </row>
    <row r="751" spans="3:9" ht="15.75" customHeight="1" x14ac:dyDescent="0.35">
      <c r="C751" s="5"/>
      <c r="E751" s="5"/>
      <c r="F751" s="5"/>
      <c r="G751" s="5"/>
      <c r="I751" s="5"/>
    </row>
    <row r="752" spans="3:9" ht="15.75" customHeight="1" x14ac:dyDescent="0.35">
      <c r="C752" s="5"/>
      <c r="E752" s="5"/>
      <c r="F752" s="5"/>
      <c r="G752" s="5"/>
      <c r="I752" s="5"/>
    </row>
    <row r="753" spans="3:9" ht="15.75" customHeight="1" x14ac:dyDescent="0.35">
      <c r="C753" s="5"/>
      <c r="E753" s="5"/>
      <c r="F753" s="5"/>
      <c r="G753" s="5"/>
      <c r="I753" s="5"/>
    </row>
    <row r="754" spans="3:9" ht="15.75" customHeight="1" x14ac:dyDescent="0.35">
      <c r="C754" s="5"/>
      <c r="E754" s="5"/>
      <c r="F754" s="5"/>
      <c r="G754" s="5"/>
      <c r="I754" s="5"/>
    </row>
    <row r="755" spans="3:9" ht="15.75" customHeight="1" x14ac:dyDescent="0.35">
      <c r="C755" s="5"/>
      <c r="E755" s="5"/>
      <c r="F755" s="5"/>
      <c r="G755" s="5"/>
      <c r="I755" s="5"/>
    </row>
    <row r="756" spans="3:9" ht="15.75" customHeight="1" x14ac:dyDescent="0.35">
      <c r="C756" s="5"/>
      <c r="E756" s="5"/>
      <c r="F756" s="5"/>
      <c r="G756" s="5"/>
      <c r="I756" s="5"/>
    </row>
    <row r="757" spans="3:9" ht="15.75" customHeight="1" x14ac:dyDescent="0.35">
      <c r="C757" s="5"/>
      <c r="E757" s="5"/>
      <c r="F757" s="5"/>
      <c r="G757" s="5"/>
      <c r="I757" s="5"/>
    </row>
    <row r="758" spans="3:9" ht="15.75" customHeight="1" x14ac:dyDescent="0.35">
      <c r="C758" s="5"/>
      <c r="E758" s="5"/>
      <c r="F758" s="5"/>
      <c r="G758" s="5"/>
      <c r="I758" s="5"/>
    </row>
    <row r="759" spans="3:9" ht="15.75" customHeight="1" x14ac:dyDescent="0.35">
      <c r="C759" s="5"/>
      <c r="E759" s="5"/>
      <c r="F759" s="5"/>
      <c r="G759" s="5"/>
      <c r="I759" s="5"/>
    </row>
    <row r="760" spans="3:9" ht="15.75" customHeight="1" x14ac:dyDescent="0.35">
      <c r="C760" s="5"/>
      <c r="E760" s="5"/>
      <c r="F760" s="5"/>
      <c r="G760" s="5"/>
      <c r="I760" s="5"/>
    </row>
    <row r="761" spans="3:9" ht="15.75" customHeight="1" x14ac:dyDescent="0.35">
      <c r="C761" s="5"/>
      <c r="E761" s="5"/>
      <c r="F761" s="5"/>
      <c r="G761" s="5"/>
      <c r="I761" s="5"/>
    </row>
    <row r="762" spans="3:9" ht="15.75" customHeight="1" x14ac:dyDescent="0.35">
      <c r="C762" s="5"/>
      <c r="E762" s="5"/>
      <c r="F762" s="5"/>
      <c r="G762" s="5"/>
      <c r="I762" s="5"/>
    </row>
    <row r="763" spans="3:9" ht="15.75" customHeight="1" x14ac:dyDescent="0.35">
      <c r="C763" s="5"/>
      <c r="E763" s="5"/>
      <c r="F763" s="5"/>
      <c r="G763" s="5"/>
      <c r="I763" s="5"/>
    </row>
    <row r="764" spans="3:9" ht="15.75" customHeight="1" x14ac:dyDescent="0.35">
      <c r="C764" s="5"/>
      <c r="E764" s="5"/>
      <c r="F764" s="5"/>
      <c r="G764" s="5"/>
      <c r="I764" s="5"/>
    </row>
    <row r="765" spans="3:9" ht="15.75" customHeight="1" x14ac:dyDescent="0.35">
      <c r="C765" s="5"/>
      <c r="E765" s="5"/>
      <c r="F765" s="5"/>
      <c r="G765" s="5"/>
      <c r="I765" s="5"/>
    </row>
    <row r="766" spans="3:9" ht="15.75" customHeight="1" x14ac:dyDescent="0.35">
      <c r="C766" s="5"/>
      <c r="E766" s="5"/>
      <c r="F766" s="5"/>
      <c r="G766" s="5"/>
      <c r="I766" s="5"/>
    </row>
    <row r="767" spans="3:9" ht="15.75" customHeight="1" x14ac:dyDescent="0.35">
      <c r="C767" s="5"/>
      <c r="E767" s="5"/>
      <c r="F767" s="5"/>
      <c r="G767" s="5"/>
      <c r="I767" s="5"/>
    </row>
    <row r="768" spans="3:9" ht="15.75" customHeight="1" x14ac:dyDescent="0.35">
      <c r="C768" s="5"/>
      <c r="E768" s="5"/>
      <c r="F768" s="5"/>
      <c r="G768" s="5"/>
      <c r="I768" s="5"/>
    </row>
    <row r="769" spans="3:9" ht="15.75" customHeight="1" x14ac:dyDescent="0.35">
      <c r="C769" s="5"/>
      <c r="E769" s="5"/>
      <c r="F769" s="5"/>
      <c r="G769" s="5"/>
      <c r="I769" s="5"/>
    </row>
    <row r="770" spans="3:9" ht="15.75" customHeight="1" x14ac:dyDescent="0.35">
      <c r="C770" s="5"/>
      <c r="E770" s="5"/>
      <c r="F770" s="5"/>
      <c r="G770" s="5"/>
      <c r="I770" s="5"/>
    </row>
    <row r="771" spans="3:9" ht="15.75" customHeight="1" x14ac:dyDescent="0.35">
      <c r="C771" s="5"/>
      <c r="E771" s="5"/>
      <c r="F771" s="5"/>
      <c r="G771" s="5"/>
      <c r="I771" s="5"/>
    </row>
    <row r="772" spans="3:9" ht="15.75" customHeight="1" x14ac:dyDescent="0.35">
      <c r="C772" s="5"/>
      <c r="E772" s="5"/>
      <c r="F772" s="5"/>
      <c r="G772" s="5"/>
      <c r="I772" s="5"/>
    </row>
    <row r="773" spans="3:9" ht="15.75" customHeight="1" x14ac:dyDescent="0.35">
      <c r="C773" s="5"/>
      <c r="E773" s="5"/>
      <c r="F773" s="5"/>
      <c r="G773" s="5"/>
      <c r="I773" s="5"/>
    </row>
    <row r="774" spans="3:9" ht="15.75" customHeight="1" x14ac:dyDescent="0.35">
      <c r="C774" s="5"/>
      <c r="E774" s="5"/>
      <c r="F774" s="5"/>
      <c r="G774" s="5"/>
      <c r="I774" s="5"/>
    </row>
    <row r="775" spans="3:9" ht="15.75" customHeight="1" x14ac:dyDescent="0.35">
      <c r="C775" s="5"/>
      <c r="E775" s="5"/>
      <c r="F775" s="5"/>
      <c r="G775" s="5"/>
      <c r="I775" s="5"/>
    </row>
    <row r="776" spans="3:9" ht="15.75" customHeight="1" x14ac:dyDescent="0.35">
      <c r="C776" s="5"/>
      <c r="E776" s="5"/>
      <c r="F776" s="5"/>
      <c r="G776" s="5"/>
      <c r="I776" s="5"/>
    </row>
    <row r="777" spans="3:9" ht="15.75" customHeight="1" x14ac:dyDescent="0.35">
      <c r="C777" s="5"/>
      <c r="E777" s="5"/>
      <c r="F777" s="5"/>
      <c r="G777" s="5"/>
      <c r="I777" s="5"/>
    </row>
    <row r="778" spans="3:9" ht="15.75" customHeight="1" x14ac:dyDescent="0.35">
      <c r="C778" s="5"/>
      <c r="E778" s="5"/>
      <c r="F778" s="5"/>
      <c r="G778" s="5"/>
      <c r="I778" s="5"/>
    </row>
    <row r="779" spans="3:9" ht="15.75" customHeight="1" x14ac:dyDescent="0.35">
      <c r="C779" s="5"/>
      <c r="E779" s="5"/>
      <c r="F779" s="5"/>
      <c r="G779" s="5"/>
      <c r="I779" s="5"/>
    </row>
    <row r="780" spans="3:9" ht="15.75" customHeight="1" x14ac:dyDescent="0.35">
      <c r="C780" s="5"/>
      <c r="E780" s="5"/>
      <c r="F780" s="5"/>
      <c r="G780" s="5"/>
      <c r="I780" s="5"/>
    </row>
    <row r="781" spans="3:9" ht="15.75" customHeight="1" x14ac:dyDescent="0.35">
      <c r="C781" s="5"/>
      <c r="E781" s="5"/>
      <c r="F781" s="5"/>
      <c r="G781" s="5"/>
      <c r="I781" s="5"/>
    </row>
    <row r="782" spans="3:9" ht="15.75" customHeight="1" x14ac:dyDescent="0.35">
      <c r="C782" s="5"/>
      <c r="E782" s="5"/>
      <c r="F782" s="5"/>
      <c r="G782" s="5"/>
      <c r="I782" s="5"/>
    </row>
    <row r="783" spans="3:9" ht="15.75" customHeight="1" x14ac:dyDescent="0.35">
      <c r="C783" s="5"/>
      <c r="E783" s="5"/>
      <c r="F783" s="5"/>
      <c r="G783" s="5"/>
      <c r="I783" s="5"/>
    </row>
    <row r="784" spans="3:9" ht="15.75" customHeight="1" x14ac:dyDescent="0.35">
      <c r="C784" s="5"/>
      <c r="E784" s="5"/>
      <c r="F784" s="5"/>
      <c r="G784" s="5"/>
      <c r="I784" s="5"/>
    </row>
    <row r="785" spans="3:9" ht="15.75" customHeight="1" x14ac:dyDescent="0.35">
      <c r="C785" s="5"/>
      <c r="E785" s="5"/>
      <c r="F785" s="5"/>
      <c r="G785" s="5"/>
      <c r="I785" s="5"/>
    </row>
    <row r="786" spans="3:9" ht="15.75" customHeight="1" x14ac:dyDescent="0.35">
      <c r="C786" s="5"/>
      <c r="E786" s="5"/>
      <c r="F786" s="5"/>
      <c r="G786" s="5"/>
      <c r="I786" s="5"/>
    </row>
    <row r="787" spans="3:9" ht="15.75" customHeight="1" x14ac:dyDescent="0.35">
      <c r="C787" s="5"/>
      <c r="E787" s="5"/>
      <c r="F787" s="5"/>
      <c r="G787" s="5"/>
      <c r="I787" s="5"/>
    </row>
    <row r="788" spans="3:9" ht="15.75" customHeight="1" x14ac:dyDescent="0.35">
      <c r="C788" s="5"/>
      <c r="E788" s="5"/>
      <c r="F788" s="5"/>
      <c r="G788" s="5"/>
      <c r="I788" s="5"/>
    </row>
    <row r="789" spans="3:9" ht="15.75" customHeight="1" x14ac:dyDescent="0.35">
      <c r="C789" s="5"/>
      <c r="E789" s="5"/>
      <c r="F789" s="5"/>
      <c r="G789" s="5"/>
      <c r="I789" s="5"/>
    </row>
    <row r="790" spans="3:9" ht="15.75" customHeight="1" x14ac:dyDescent="0.35">
      <c r="C790" s="5"/>
      <c r="E790" s="5"/>
      <c r="F790" s="5"/>
      <c r="G790" s="5"/>
      <c r="I790" s="5"/>
    </row>
    <row r="791" spans="3:9" ht="15.75" customHeight="1" x14ac:dyDescent="0.35">
      <c r="C791" s="5"/>
      <c r="E791" s="5"/>
      <c r="F791" s="5"/>
      <c r="G791" s="5"/>
      <c r="I791" s="5"/>
    </row>
    <row r="792" spans="3:9" ht="15.75" customHeight="1" x14ac:dyDescent="0.35">
      <c r="C792" s="5"/>
      <c r="E792" s="5"/>
      <c r="F792" s="5"/>
      <c r="G792" s="5"/>
      <c r="I792" s="5"/>
    </row>
    <row r="793" spans="3:9" ht="15.75" customHeight="1" x14ac:dyDescent="0.35">
      <c r="C793" s="5"/>
      <c r="E793" s="5"/>
      <c r="F793" s="5"/>
      <c r="G793" s="5"/>
      <c r="I793" s="5"/>
    </row>
    <row r="794" spans="3:9" ht="15.75" customHeight="1" x14ac:dyDescent="0.35">
      <c r="C794" s="5"/>
      <c r="E794" s="5"/>
      <c r="F794" s="5"/>
      <c r="G794" s="5"/>
      <c r="I794" s="5"/>
    </row>
    <row r="795" spans="3:9" ht="15.75" customHeight="1" x14ac:dyDescent="0.35">
      <c r="C795" s="5"/>
      <c r="E795" s="5"/>
      <c r="F795" s="5"/>
      <c r="G795" s="5"/>
      <c r="I795" s="5"/>
    </row>
    <row r="796" spans="3:9" ht="15.75" customHeight="1" x14ac:dyDescent="0.35">
      <c r="C796" s="5"/>
      <c r="E796" s="5"/>
      <c r="F796" s="5"/>
      <c r="G796" s="5"/>
      <c r="I796" s="5"/>
    </row>
    <row r="797" spans="3:9" ht="15.75" customHeight="1" x14ac:dyDescent="0.35">
      <c r="C797" s="5"/>
      <c r="E797" s="5"/>
      <c r="F797" s="5"/>
      <c r="G797" s="5"/>
      <c r="I797" s="5"/>
    </row>
    <row r="798" spans="3:9" ht="15.75" customHeight="1" x14ac:dyDescent="0.35">
      <c r="C798" s="5"/>
      <c r="E798" s="5"/>
      <c r="F798" s="5"/>
      <c r="G798" s="5"/>
      <c r="I798" s="5"/>
    </row>
    <row r="799" spans="3:9" ht="15.75" customHeight="1" x14ac:dyDescent="0.35">
      <c r="C799" s="5"/>
      <c r="E799" s="5"/>
      <c r="F799" s="5"/>
      <c r="G799" s="5"/>
      <c r="I799" s="5"/>
    </row>
    <row r="800" spans="3:9" ht="15.75" customHeight="1" x14ac:dyDescent="0.35">
      <c r="C800" s="5"/>
      <c r="E800" s="5"/>
      <c r="F800" s="5"/>
      <c r="G800" s="5"/>
      <c r="I800" s="5"/>
    </row>
    <row r="801" spans="3:9" ht="15.75" customHeight="1" x14ac:dyDescent="0.35">
      <c r="C801" s="5"/>
      <c r="E801" s="5"/>
      <c r="F801" s="5"/>
      <c r="G801" s="5"/>
      <c r="I801" s="5"/>
    </row>
    <row r="802" spans="3:9" ht="15.75" customHeight="1" x14ac:dyDescent="0.35">
      <c r="C802" s="5"/>
      <c r="E802" s="5"/>
      <c r="F802" s="5"/>
      <c r="G802" s="5"/>
      <c r="I802" s="5"/>
    </row>
    <row r="803" spans="3:9" ht="15.75" customHeight="1" x14ac:dyDescent="0.35">
      <c r="C803" s="5"/>
      <c r="E803" s="5"/>
      <c r="F803" s="5"/>
      <c r="G803" s="5"/>
      <c r="I803" s="5"/>
    </row>
    <row r="804" spans="3:9" ht="15.75" customHeight="1" x14ac:dyDescent="0.35">
      <c r="C804" s="5"/>
      <c r="E804" s="5"/>
      <c r="F804" s="5"/>
      <c r="G804" s="5"/>
      <c r="I804" s="5"/>
    </row>
    <row r="805" spans="3:9" ht="15.75" customHeight="1" x14ac:dyDescent="0.35">
      <c r="C805" s="5"/>
      <c r="E805" s="5"/>
      <c r="F805" s="5"/>
      <c r="G805" s="5"/>
      <c r="I805" s="5"/>
    </row>
    <row r="806" spans="3:9" ht="15.75" customHeight="1" x14ac:dyDescent="0.35">
      <c r="C806" s="5"/>
      <c r="E806" s="5"/>
      <c r="F806" s="5"/>
      <c r="G806" s="5"/>
      <c r="I806" s="5"/>
    </row>
    <row r="807" spans="3:9" ht="15.75" customHeight="1" x14ac:dyDescent="0.35">
      <c r="C807" s="5"/>
      <c r="E807" s="5"/>
      <c r="F807" s="5"/>
      <c r="G807" s="5"/>
      <c r="I807" s="5"/>
    </row>
    <row r="808" spans="3:9" ht="15.75" customHeight="1" x14ac:dyDescent="0.35">
      <c r="C808" s="5"/>
      <c r="E808" s="5"/>
      <c r="F808" s="5"/>
      <c r="G808" s="5"/>
      <c r="I808" s="5"/>
    </row>
    <row r="809" spans="3:9" ht="15.75" customHeight="1" x14ac:dyDescent="0.35">
      <c r="C809" s="5"/>
      <c r="E809" s="5"/>
      <c r="F809" s="5"/>
      <c r="G809" s="5"/>
      <c r="I809" s="5"/>
    </row>
    <row r="810" spans="3:9" ht="15.75" customHeight="1" x14ac:dyDescent="0.35">
      <c r="C810" s="5"/>
      <c r="E810" s="5"/>
      <c r="F810" s="5"/>
      <c r="G810" s="5"/>
      <c r="I810" s="5"/>
    </row>
    <row r="811" spans="3:9" ht="15.75" customHeight="1" x14ac:dyDescent="0.35">
      <c r="C811" s="5"/>
      <c r="E811" s="5"/>
      <c r="F811" s="5"/>
      <c r="G811" s="5"/>
      <c r="I811" s="5"/>
    </row>
    <row r="812" spans="3:9" ht="15.75" customHeight="1" x14ac:dyDescent="0.35">
      <c r="C812" s="5"/>
      <c r="E812" s="5"/>
      <c r="F812" s="5"/>
      <c r="G812" s="5"/>
      <c r="I812" s="5"/>
    </row>
    <row r="813" spans="3:9" ht="15.75" customHeight="1" x14ac:dyDescent="0.35">
      <c r="C813" s="5"/>
      <c r="E813" s="5"/>
      <c r="F813" s="5"/>
      <c r="G813" s="5"/>
      <c r="I813" s="5"/>
    </row>
    <row r="814" spans="3:9" ht="15.75" customHeight="1" x14ac:dyDescent="0.35">
      <c r="C814" s="5"/>
      <c r="E814" s="5"/>
      <c r="F814" s="5"/>
      <c r="G814" s="5"/>
      <c r="I814" s="5"/>
    </row>
    <row r="815" spans="3:9" ht="15.75" customHeight="1" x14ac:dyDescent="0.35">
      <c r="C815" s="5"/>
      <c r="E815" s="5"/>
      <c r="F815" s="5"/>
      <c r="G815" s="5"/>
      <c r="I815" s="5"/>
    </row>
    <row r="816" spans="3:9" ht="15.75" customHeight="1" x14ac:dyDescent="0.35">
      <c r="C816" s="5"/>
      <c r="E816" s="5"/>
      <c r="F816" s="5"/>
      <c r="G816" s="5"/>
      <c r="I816" s="5"/>
    </row>
    <row r="817" spans="3:9" ht="15.75" customHeight="1" x14ac:dyDescent="0.35">
      <c r="C817" s="5"/>
      <c r="E817" s="5"/>
      <c r="F817" s="5"/>
      <c r="G817" s="5"/>
      <c r="I817" s="5"/>
    </row>
    <row r="818" spans="3:9" ht="15.75" customHeight="1" x14ac:dyDescent="0.35">
      <c r="C818" s="5"/>
      <c r="E818" s="5"/>
      <c r="F818" s="5"/>
      <c r="G818" s="5"/>
      <c r="I818" s="5"/>
    </row>
    <row r="819" spans="3:9" ht="15.75" customHeight="1" x14ac:dyDescent="0.35">
      <c r="C819" s="5"/>
      <c r="E819" s="5"/>
      <c r="F819" s="5"/>
      <c r="G819" s="5"/>
      <c r="I819" s="5"/>
    </row>
    <row r="820" spans="3:9" ht="15.75" customHeight="1" x14ac:dyDescent="0.35">
      <c r="C820" s="5"/>
      <c r="E820" s="5"/>
      <c r="F820" s="5"/>
      <c r="G820" s="5"/>
      <c r="I820" s="5"/>
    </row>
    <row r="821" spans="3:9" ht="15.75" customHeight="1" x14ac:dyDescent="0.35">
      <c r="C821" s="5"/>
      <c r="E821" s="5"/>
      <c r="F821" s="5"/>
      <c r="G821" s="5"/>
      <c r="I821" s="5"/>
    </row>
    <row r="822" spans="3:9" ht="15.75" customHeight="1" x14ac:dyDescent="0.35">
      <c r="C822" s="5"/>
      <c r="E822" s="5"/>
      <c r="F822" s="5"/>
      <c r="G822" s="5"/>
      <c r="I822" s="5"/>
    </row>
    <row r="823" spans="3:9" ht="15.75" customHeight="1" x14ac:dyDescent="0.35">
      <c r="C823" s="5"/>
      <c r="E823" s="5"/>
      <c r="F823" s="5"/>
      <c r="G823" s="5"/>
      <c r="I823" s="5"/>
    </row>
    <row r="824" spans="3:9" ht="15.75" customHeight="1" x14ac:dyDescent="0.35">
      <c r="C824" s="5"/>
      <c r="E824" s="5"/>
      <c r="F824" s="5"/>
      <c r="G824" s="5"/>
      <c r="I824" s="5"/>
    </row>
    <row r="825" spans="3:9" ht="15.75" customHeight="1" x14ac:dyDescent="0.35">
      <c r="C825" s="5"/>
      <c r="E825" s="5"/>
      <c r="F825" s="5"/>
      <c r="G825" s="5"/>
      <c r="I825" s="5"/>
    </row>
    <row r="826" spans="3:9" ht="15.75" customHeight="1" x14ac:dyDescent="0.35">
      <c r="C826" s="5"/>
      <c r="E826" s="5"/>
      <c r="F826" s="5"/>
      <c r="G826" s="5"/>
      <c r="I826" s="5"/>
    </row>
    <row r="827" spans="3:9" ht="15.75" customHeight="1" x14ac:dyDescent="0.35">
      <c r="C827" s="5"/>
      <c r="E827" s="5"/>
      <c r="F827" s="5"/>
      <c r="G827" s="5"/>
      <c r="I827" s="5"/>
    </row>
    <row r="828" spans="3:9" ht="15.75" customHeight="1" x14ac:dyDescent="0.35">
      <c r="C828" s="5"/>
      <c r="E828" s="5"/>
      <c r="F828" s="5"/>
      <c r="G828" s="5"/>
      <c r="I828" s="5"/>
    </row>
    <row r="829" spans="3:9" ht="15.75" customHeight="1" x14ac:dyDescent="0.35">
      <c r="C829" s="5"/>
      <c r="E829" s="5"/>
      <c r="F829" s="5"/>
      <c r="G829" s="5"/>
      <c r="I829" s="5"/>
    </row>
    <row r="830" spans="3:9" ht="15.75" customHeight="1" x14ac:dyDescent="0.35">
      <c r="C830" s="5"/>
      <c r="E830" s="5"/>
      <c r="F830" s="5"/>
      <c r="G830" s="5"/>
      <c r="I830" s="5"/>
    </row>
    <row r="831" spans="3:9" ht="15.75" customHeight="1" x14ac:dyDescent="0.35">
      <c r="C831" s="5"/>
      <c r="E831" s="5"/>
      <c r="F831" s="5"/>
      <c r="G831" s="5"/>
      <c r="I831" s="5"/>
    </row>
    <row r="832" spans="3:9" ht="15.75" customHeight="1" x14ac:dyDescent="0.35">
      <c r="C832" s="5"/>
      <c r="E832" s="5"/>
      <c r="F832" s="5"/>
      <c r="G832" s="5"/>
      <c r="I832" s="5"/>
    </row>
    <row r="833" spans="3:9" ht="15.75" customHeight="1" x14ac:dyDescent="0.35">
      <c r="C833" s="5"/>
      <c r="E833" s="5"/>
      <c r="F833" s="5"/>
      <c r="G833" s="5"/>
      <c r="I833" s="5"/>
    </row>
    <row r="834" spans="3:9" ht="15.75" customHeight="1" x14ac:dyDescent="0.35">
      <c r="C834" s="5"/>
      <c r="E834" s="5"/>
      <c r="F834" s="5"/>
      <c r="G834" s="5"/>
      <c r="I834" s="5"/>
    </row>
    <row r="835" spans="3:9" ht="15.75" customHeight="1" x14ac:dyDescent="0.35">
      <c r="C835" s="5"/>
      <c r="E835" s="5"/>
      <c r="F835" s="5"/>
      <c r="G835" s="5"/>
      <c r="I835" s="5"/>
    </row>
    <row r="836" spans="3:9" ht="15.75" customHeight="1" x14ac:dyDescent="0.35">
      <c r="C836" s="5"/>
      <c r="E836" s="5"/>
      <c r="F836" s="5"/>
      <c r="G836" s="5"/>
      <c r="I836" s="5"/>
    </row>
    <row r="837" spans="3:9" ht="15.75" customHeight="1" x14ac:dyDescent="0.35">
      <c r="C837" s="5"/>
      <c r="E837" s="5"/>
      <c r="F837" s="5"/>
      <c r="G837" s="5"/>
      <c r="I837" s="5"/>
    </row>
    <row r="838" spans="3:9" ht="15.75" customHeight="1" x14ac:dyDescent="0.35">
      <c r="C838" s="5"/>
      <c r="E838" s="5"/>
      <c r="F838" s="5"/>
      <c r="G838" s="5"/>
      <c r="I838" s="5"/>
    </row>
    <row r="839" spans="3:9" ht="15.75" customHeight="1" x14ac:dyDescent="0.35">
      <c r="C839" s="5"/>
      <c r="E839" s="5"/>
      <c r="F839" s="5"/>
      <c r="G839" s="5"/>
      <c r="I839" s="5"/>
    </row>
    <row r="840" spans="3:9" ht="15.75" customHeight="1" x14ac:dyDescent="0.35">
      <c r="C840" s="5"/>
      <c r="E840" s="5"/>
      <c r="F840" s="5"/>
      <c r="G840" s="5"/>
      <c r="I840" s="5"/>
    </row>
    <row r="841" spans="3:9" ht="15.75" customHeight="1" x14ac:dyDescent="0.35">
      <c r="C841" s="5"/>
      <c r="E841" s="5"/>
      <c r="F841" s="5"/>
      <c r="G841" s="5"/>
      <c r="I841" s="5"/>
    </row>
    <row r="842" spans="3:9" ht="15.75" customHeight="1" x14ac:dyDescent="0.35">
      <c r="C842" s="5"/>
      <c r="E842" s="5"/>
      <c r="F842" s="5"/>
      <c r="G842" s="5"/>
      <c r="I842" s="5"/>
    </row>
    <row r="843" spans="3:9" ht="15.75" customHeight="1" x14ac:dyDescent="0.35">
      <c r="C843" s="5"/>
      <c r="E843" s="5"/>
      <c r="F843" s="5"/>
      <c r="G843" s="5"/>
      <c r="I843" s="5"/>
    </row>
    <row r="844" spans="3:9" ht="15.75" customHeight="1" x14ac:dyDescent="0.35">
      <c r="C844" s="5"/>
      <c r="E844" s="5"/>
      <c r="F844" s="5"/>
      <c r="G844" s="5"/>
      <c r="I844" s="5"/>
    </row>
    <row r="845" spans="3:9" ht="15.75" customHeight="1" x14ac:dyDescent="0.35">
      <c r="C845" s="5"/>
      <c r="E845" s="5"/>
      <c r="F845" s="5"/>
      <c r="G845" s="5"/>
      <c r="I845" s="5"/>
    </row>
    <row r="846" spans="3:9" ht="15.75" customHeight="1" x14ac:dyDescent="0.35">
      <c r="C846" s="5"/>
      <c r="E846" s="5"/>
      <c r="F846" s="5"/>
      <c r="G846" s="5"/>
      <c r="I846" s="5"/>
    </row>
    <row r="847" spans="3:9" ht="15.75" customHeight="1" x14ac:dyDescent="0.35">
      <c r="C847" s="5"/>
      <c r="E847" s="5"/>
      <c r="F847" s="5"/>
      <c r="G847" s="5"/>
      <c r="I847" s="5"/>
    </row>
    <row r="848" spans="3:9" ht="15.75" customHeight="1" x14ac:dyDescent="0.35">
      <c r="C848" s="5"/>
      <c r="E848" s="5"/>
      <c r="F848" s="5"/>
      <c r="G848" s="5"/>
      <c r="I848" s="5"/>
    </row>
    <row r="849" spans="3:9" ht="15.75" customHeight="1" x14ac:dyDescent="0.35">
      <c r="C849" s="5"/>
      <c r="E849" s="5"/>
      <c r="F849" s="5"/>
      <c r="G849" s="5"/>
      <c r="I849" s="5"/>
    </row>
    <row r="850" spans="3:9" ht="15.75" customHeight="1" x14ac:dyDescent="0.35">
      <c r="C850" s="5"/>
      <c r="E850" s="5"/>
      <c r="F850" s="5"/>
      <c r="G850" s="5"/>
      <c r="I850" s="5"/>
    </row>
    <row r="851" spans="3:9" ht="15.75" customHeight="1" x14ac:dyDescent="0.35">
      <c r="C851" s="5"/>
      <c r="E851" s="5"/>
      <c r="F851" s="5"/>
      <c r="G851" s="5"/>
      <c r="I851" s="5"/>
    </row>
    <row r="852" spans="3:9" ht="15.75" customHeight="1" x14ac:dyDescent="0.35">
      <c r="C852" s="5"/>
      <c r="E852" s="5"/>
      <c r="F852" s="5"/>
      <c r="G852" s="5"/>
      <c r="I852" s="5"/>
    </row>
    <row r="853" spans="3:9" ht="15.75" customHeight="1" x14ac:dyDescent="0.35">
      <c r="C853" s="5"/>
      <c r="E853" s="5"/>
      <c r="F853" s="5"/>
      <c r="G853" s="5"/>
      <c r="I853" s="5"/>
    </row>
    <row r="854" spans="3:9" ht="15.75" customHeight="1" x14ac:dyDescent="0.35">
      <c r="C854" s="5"/>
      <c r="E854" s="5"/>
      <c r="F854" s="5"/>
      <c r="G854" s="5"/>
      <c r="I854" s="5"/>
    </row>
    <row r="855" spans="3:9" ht="15.75" customHeight="1" x14ac:dyDescent="0.35">
      <c r="C855" s="5"/>
      <c r="E855" s="5"/>
      <c r="F855" s="5"/>
      <c r="G855" s="5"/>
      <c r="I855" s="5"/>
    </row>
    <row r="856" spans="3:9" ht="15.75" customHeight="1" x14ac:dyDescent="0.35">
      <c r="C856" s="5"/>
      <c r="E856" s="5"/>
      <c r="F856" s="5"/>
      <c r="G856" s="5"/>
      <c r="I856" s="5"/>
    </row>
    <row r="857" spans="3:9" ht="15.75" customHeight="1" x14ac:dyDescent="0.35">
      <c r="C857" s="5"/>
      <c r="E857" s="5"/>
      <c r="F857" s="5"/>
      <c r="G857" s="5"/>
      <c r="I857" s="5"/>
    </row>
    <row r="858" spans="3:9" ht="15.75" customHeight="1" x14ac:dyDescent="0.35">
      <c r="C858" s="5"/>
      <c r="E858" s="5"/>
      <c r="F858" s="5"/>
      <c r="G858" s="5"/>
      <c r="I858" s="5"/>
    </row>
    <row r="859" spans="3:9" ht="15.75" customHeight="1" x14ac:dyDescent="0.35">
      <c r="C859" s="5"/>
      <c r="E859" s="5"/>
      <c r="F859" s="5"/>
      <c r="G859" s="5"/>
      <c r="I859" s="5"/>
    </row>
    <row r="860" spans="3:9" ht="15.75" customHeight="1" x14ac:dyDescent="0.35">
      <c r="C860" s="5"/>
      <c r="E860" s="5"/>
      <c r="F860" s="5"/>
      <c r="G860" s="5"/>
      <c r="I860" s="5"/>
    </row>
    <row r="861" spans="3:9" ht="15.75" customHeight="1" x14ac:dyDescent="0.35">
      <c r="C861" s="5"/>
      <c r="E861" s="5"/>
      <c r="F861" s="5"/>
      <c r="G861" s="5"/>
      <c r="I861" s="5"/>
    </row>
    <row r="862" spans="3:9" ht="15.75" customHeight="1" x14ac:dyDescent="0.35">
      <c r="C862" s="5"/>
      <c r="E862" s="5"/>
      <c r="F862" s="5"/>
      <c r="G862" s="5"/>
      <c r="I862" s="5"/>
    </row>
    <row r="863" spans="3:9" ht="15.75" customHeight="1" x14ac:dyDescent="0.35">
      <c r="C863" s="5"/>
      <c r="E863" s="5"/>
      <c r="F863" s="5"/>
      <c r="G863" s="5"/>
      <c r="I863" s="5"/>
    </row>
    <row r="864" spans="3:9" ht="15.75" customHeight="1" x14ac:dyDescent="0.35">
      <c r="C864" s="5"/>
      <c r="E864" s="5"/>
      <c r="F864" s="5"/>
      <c r="G864" s="5"/>
      <c r="I864" s="5"/>
    </row>
    <row r="865" spans="3:9" ht="15.75" customHeight="1" x14ac:dyDescent="0.35">
      <c r="C865" s="5"/>
      <c r="E865" s="5"/>
      <c r="F865" s="5"/>
      <c r="G865" s="5"/>
      <c r="I865" s="5"/>
    </row>
    <row r="866" spans="3:9" ht="15.75" customHeight="1" x14ac:dyDescent="0.35">
      <c r="C866" s="5"/>
      <c r="E866" s="5"/>
      <c r="F866" s="5"/>
      <c r="G866" s="5"/>
      <c r="I866" s="5"/>
    </row>
    <row r="867" spans="3:9" ht="15.75" customHeight="1" x14ac:dyDescent="0.35">
      <c r="C867" s="5"/>
      <c r="E867" s="5"/>
      <c r="F867" s="5"/>
      <c r="G867" s="5"/>
      <c r="I867" s="5"/>
    </row>
    <row r="868" spans="3:9" ht="15.75" customHeight="1" x14ac:dyDescent="0.35">
      <c r="C868" s="5"/>
      <c r="E868" s="5"/>
      <c r="F868" s="5"/>
      <c r="G868" s="5"/>
      <c r="I868" s="5"/>
    </row>
    <row r="869" spans="3:9" ht="15.75" customHeight="1" x14ac:dyDescent="0.35">
      <c r="C869" s="5"/>
      <c r="E869" s="5"/>
      <c r="F869" s="5"/>
      <c r="G869" s="5"/>
      <c r="I869" s="5"/>
    </row>
    <row r="870" spans="3:9" ht="15.75" customHeight="1" x14ac:dyDescent="0.35">
      <c r="C870" s="5"/>
      <c r="E870" s="5"/>
      <c r="F870" s="5"/>
      <c r="G870" s="5"/>
      <c r="I870" s="5"/>
    </row>
    <row r="871" spans="3:9" ht="15.75" customHeight="1" x14ac:dyDescent="0.35">
      <c r="C871" s="5"/>
      <c r="E871" s="5"/>
      <c r="F871" s="5"/>
      <c r="G871" s="5"/>
      <c r="I871" s="5"/>
    </row>
    <row r="872" spans="3:9" ht="15.75" customHeight="1" x14ac:dyDescent="0.35">
      <c r="C872" s="5"/>
      <c r="E872" s="5"/>
      <c r="F872" s="5"/>
      <c r="G872" s="5"/>
      <c r="I872" s="5"/>
    </row>
    <row r="873" spans="3:9" ht="15.75" customHeight="1" x14ac:dyDescent="0.35">
      <c r="C873" s="5"/>
      <c r="E873" s="5"/>
      <c r="F873" s="5"/>
      <c r="G873" s="5"/>
      <c r="I873" s="5"/>
    </row>
    <row r="874" spans="3:9" ht="15.75" customHeight="1" x14ac:dyDescent="0.35">
      <c r="C874" s="5"/>
      <c r="E874" s="5"/>
      <c r="F874" s="5"/>
      <c r="G874" s="5"/>
      <c r="I874" s="5"/>
    </row>
    <row r="875" spans="3:9" ht="15.75" customHeight="1" x14ac:dyDescent="0.35">
      <c r="C875" s="5"/>
      <c r="E875" s="5"/>
      <c r="F875" s="5"/>
      <c r="G875" s="5"/>
      <c r="I875" s="5"/>
    </row>
    <row r="876" spans="3:9" ht="15.75" customHeight="1" x14ac:dyDescent="0.35">
      <c r="C876" s="5"/>
      <c r="E876" s="5"/>
      <c r="F876" s="5"/>
      <c r="G876" s="5"/>
      <c r="I876" s="5"/>
    </row>
    <row r="877" spans="3:9" ht="15.75" customHeight="1" x14ac:dyDescent="0.35">
      <c r="C877" s="5"/>
      <c r="E877" s="5"/>
      <c r="F877" s="5"/>
      <c r="G877" s="5"/>
      <c r="I877" s="5"/>
    </row>
    <row r="878" spans="3:9" ht="15.75" customHeight="1" x14ac:dyDescent="0.35">
      <c r="C878" s="5"/>
      <c r="E878" s="5"/>
      <c r="F878" s="5"/>
      <c r="G878" s="5"/>
      <c r="I878" s="5"/>
    </row>
    <row r="879" spans="3:9" ht="15.75" customHeight="1" x14ac:dyDescent="0.35">
      <c r="C879" s="5"/>
      <c r="E879" s="5"/>
      <c r="F879" s="5"/>
      <c r="G879" s="5"/>
      <c r="I879" s="5"/>
    </row>
    <row r="880" spans="3:9" ht="15.75" customHeight="1" x14ac:dyDescent="0.35">
      <c r="C880" s="5"/>
      <c r="E880" s="5"/>
      <c r="F880" s="5"/>
      <c r="G880" s="5"/>
      <c r="I880" s="5"/>
    </row>
    <row r="881" spans="3:9" ht="15.75" customHeight="1" x14ac:dyDescent="0.35">
      <c r="C881" s="5"/>
      <c r="E881" s="5"/>
      <c r="F881" s="5"/>
      <c r="G881" s="5"/>
      <c r="I881" s="5"/>
    </row>
    <row r="882" spans="3:9" ht="15.75" customHeight="1" x14ac:dyDescent="0.35">
      <c r="C882" s="5"/>
      <c r="E882" s="5"/>
      <c r="F882" s="5"/>
      <c r="G882" s="5"/>
      <c r="I882" s="5"/>
    </row>
    <row r="883" spans="3:9" ht="15.75" customHeight="1" x14ac:dyDescent="0.35">
      <c r="C883" s="5"/>
      <c r="E883" s="5"/>
      <c r="F883" s="5"/>
      <c r="G883" s="5"/>
      <c r="I883" s="5"/>
    </row>
    <row r="884" spans="3:9" ht="15.75" customHeight="1" x14ac:dyDescent="0.35">
      <c r="C884" s="5"/>
      <c r="E884" s="5"/>
      <c r="F884" s="5"/>
      <c r="G884" s="5"/>
      <c r="I884" s="5"/>
    </row>
    <row r="885" spans="3:9" ht="15.75" customHeight="1" x14ac:dyDescent="0.35">
      <c r="C885" s="5"/>
      <c r="E885" s="5"/>
      <c r="F885" s="5"/>
      <c r="G885" s="5"/>
      <c r="I885" s="5"/>
    </row>
    <row r="886" spans="3:9" ht="15.75" customHeight="1" x14ac:dyDescent="0.35">
      <c r="C886" s="5"/>
      <c r="E886" s="5"/>
      <c r="F886" s="5"/>
      <c r="G886" s="5"/>
      <c r="I886" s="5"/>
    </row>
    <row r="887" spans="3:9" ht="15.75" customHeight="1" x14ac:dyDescent="0.35">
      <c r="C887" s="5"/>
      <c r="E887" s="5"/>
      <c r="F887" s="5"/>
      <c r="G887" s="5"/>
      <c r="I887" s="5"/>
    </row>
    <row r="888" spans="3:9" ht="15.75" customHeight="1" x14ac:dyDescent="0.35">
      <c r="C888" s="5"/>
      <c r="E888" s="5"/>
      <c r="F888" s="5"/>
      <c r="G888" s="5"/>
      <c r="I888" s="5"/>
    </row>
    <row r="889" spans="3:9" ht="15.75" customHeight="1" x14ac:dyDescent="0.35">
      <c r="C889" s="5"/>
      <c r="E889" s="5"/>
      <c r="F889" s="5"/>
      <c r="G889" s="5"/>
      <c r="I889" s="5"/>
    </row>
    <row r="890" spans="3:9" ht="15.75" customHeight="1" x14ac:dyDescent="0.35">
      <c r="C890" s="5"/>
      <c r="E890" s="5"/>
      <c r="F890" s="5"/>
      <c r="G890" s="5"/>
      <c r="I890" s="5"/>
    </row>
    <row r="891" spans="3:9" ht="15.75" customHeight="1" x14ac:dyDescent="0.35">
      <c r="C891" s="5"/>
      <c r="E891" s="5"/>
      <c r="F891" s="5"/>
      <c r="G891" s="5"/>
      <c r="I891" s="5"/>
    </row>
    <row r="892" spans="3:9" ht="15.75" customHeight="1" x14ac:dyDescent="0.35">
      <c r="C892" s="5"/>
      <c r="E892" s="5"/>
      <c r="F892" s="5"/>
      <c r="G892" s="5"/>
      <c r="I892" s="5"/>
    </row>
    <row r="893" spans="3:9" ht="15.75" customHeight="1" x14ac:dyDescent="0.35">
      <c r="C893" s="5"/>
      <c r="E893" s="5"/>
      <c r="F893" s="5"/>
      <c r="G893" s="5"/>
      <c r="I893" s="5"/>
    </row>
    <row r="894" spans="3:9" ht="15.75" customHeight="1" x14ac:dyDescent="0.35">
      <c r="C894" s="5"/>
      <c r="E894" s="5"/>
      <c r="F894" s="5"/>
      <c r="G894" s="5"/>
      <c r="I894" s="5"/>
    </row>
    <row r="895" spans="3:9" ht="15.75" customHeight="1" x14ac:dyDescent="0.35">
      <c r="C895" s="5"/>
      <c r="E895" s="5"/>
      <c r="F895" s="5"/>
      <c r="G895" s="5"/>
      <c r="I895" s="5"/>
    </row>
    <row r="896" spans="3:9" ht="15.75" customHeight="1" x14ac:dyDescent="0.35">
      <c r="C896" s="5"/>
      <c r="E896" s="5"/>
      <c r="F896" s="5"/>
      <c r="G896" s="5"/>
      <c r="I896" s="5"/>
    </row>
    <row r="897" spans="3:9" ht="15.75" customHeight="1" x14ac:dyDescent="0.35">
      <c r="C897" s="5"/>
      <c r="E897" s="5"/>
      <c r="F897" s="5"/>
      <c r="G897" s="5"/>
      <c r="I897" s="5"/>
    </row>
    <row r="898" spans="3:9" ht="15.75" customHeight="1" x14ac:dyDescent="0.35">
      <c r="C898" s="5"/>
      <c r="E898" s="5"/>
      <c r="F898" s="5"/>
      <c r="G898" s="5"/>
      <c r="I898" s="5"/>
    </row>
    <row r="899" spans="3:9" ht="15.75" customHeight="1" x14ac:dyDescent="0.35">
      <c r="C899" s="5"/>
      <c r="E899" s="5"/>
      <c r="F899" s="5"/>
      <c r="G899" s="5"/>
      <c r="I899" s="5"/>
    </row>
    <row r="900" spans="3:9" ht="15.75" customHeight="1" x14ac:dyDescent="0.35">
      <c r="C900" s="5"/>
      <c r="E900" s="5"/>
      <c r="F900" s="5"/>
      <c r="G900" s="5"/>
      <c r="I900" s="5"/>
    </row>
    <row r="901" spans="3:9" ht="15.75" customHeight="1" x14ac:dyDescent="0.35">
      <c r="C901" s="5"/>
      <c r="E901" s="5"/>
      <c r="F901" s="5"/>
      <c r="G901" s="5"/>
      <c r="I901" s="5"/>
    </row>
    <row r="902" spans="3:9" ht="15.75" customHeight="1" x14ac:dyDescent="0.35">
      <c r="C902" s="5"/>
      <c r="E902" s="5"/>
      <c r="F902" s="5"/>
      <c r="G902" s="5"/>
      <c r="I902" s="5"/>
    </row>
    <row r="903" spans="3:9" ht="15.75" customHeight="1" x14ac:dyDescent="0.35">
      <c r="C903" s="5"/>
      <c r="E903" s="5"/>
      <c r="F903" s="5"/>
      <c r="G903" s="5"/>
      <c r="I903" s="5"/>
    </row>
    <row r="904" spans="3:9" ht="15.75" customHeight="1" x14ac:dyDescent="0.35">
      <c r="C904" s="5"/>
      <c r="E904" s="5"/>
      <c r="F904" s="5"/>
      <c r="G904" s="5"/>
      <c r="I904" s="5"/>
    </row>
    <row r="905" spans="3:9" ht="15.75" customHeight="1" x14ac:dyDescent="0.35">
      <c r="C905" s="5"/>
      <c r="E905" s="5"/>
      <c r="F905" s="5"/>
      <c r="G905" s="5"/>
      <c r="I905" s="5"/>
    </row>
    <row r="906" spans="3:9" ht="15.75" customHeight="1" x14ac:dyDescent="0.35">
      <c r="C906" s="5"/>
      <c r="E906" s="5"/>
      <c r="F906" s="5"/>
      <c r="G906" s="5"/>
      <c r="I906" s="5"/>
    </row>
    <row r="907" spans="3:9" ht="15.75" customHeight="1" x14ac:dyDescent="0.35">
      <c r="C907" s="5"/>
      <c r="E907" s="5"/>
      <c r="F907" s="5"/>
      <c r="G907" s="5"/>
      <c r="I907" s="5"/>
    </row>
    <row r="908" spans="3:9" ht="15.75" customHeight="1" x14ac:dyDescent="0.35">
      <c r="C908" s="5"/>
      <c r="E908" s="5"/>
      <c r="F908" s="5"/>
      <c r="G908" s="5"/>
      <c r="I908" s="5"/>
    </row>
    <row r="909" spans="3:9" ht="15.75" customHeight="1" x14ac:dyDescent="0.35">
      <c r="C909" s="5"/>
      <c r="E909" s="5"/>
      <c r="F909" s="5"/>
      <c r="G909" s="5"/>
      <c r="I909" s="5"/>
    </row>
    <row r="910" spans="3:9" ht="15.75" customHeight="1" x14ac:dyDescent="0.35">
      <c r="C910" s="5"/>
      <c r="E910" s="5"/>
      <c r="F910" s="5"/>
      <c r="G910" s="5"/>
      <c r="I910" s="5"/>
    </row>
    <row r="911" spans="3:9" ht="15.75" customHeight="1" x14ac:dyDescent="0.35">
      <c r="C911" s="5"/>
      <c r="E911" s="5"/>
      <c r="F911" s="5"/>
      <c r="G911" s="5"/>
      <c r="I911" s="5"/>
    </row>
    <row r="912" spans="3:9" ht="15.75" customHeight="1" x14ac:dyDescent="0.35">
      <c r="C912" s="5"/>
      <c r="E912" s="5"/>
      <c r="F912" s="5"/>
      <c r="G912" s="5"/>
      <c r="I912" s="5"/>
    </row>
    <row r="913" spans="3:9" ht="15.75" customHeight="1" x14ac:dyDescent="0.35">
      <c r="C913" s="5"/>
      <c r="E913" s="5"/>
      <c r="F913" s="5"/>
      <c r="G913" s="5"/>
      <c r="I913" s="5"/>
    </row>
    <row r="914" spans="3:9" ht="15.75" customHeight="1" x14ac:dyDescent="0.35">
      <c r="C914" s="5"/>
      <c r="E914" s="5"/>
      <c r="F914" s="5"/>
      <c r="G914" s="5"/>
      <c r="I914" s="5"/>
    </row>
    <row r="915" spans="3:9" ht="15.75" customHeight="1" x14ac:dyDescent="0.35">
      <c r="C915" s="5"/>
      <c r="E915" s="5"/>
      <c r="F915" s="5"/>
      <c r="G915" s="5"/>
      <c r="I915" s="5"/>
    </row>
    <row r="916" spans="3:9" ht="15.75" customHeight="1" x14ac:dyDescent="0.35">
      <c r="C916" s="5"/>
      <c r="E916" s="5"/>
      <c r="F916" s="5"/>
      <c r="G916" s="5"/>
      <c r="I916" s="5"/>
    </row>
    <row r="917" spans="3:9" ht="15.75" customHeight="1" x14ac:dyDescent="0.35">
      <c r="C917" s="5"/>
      <c r="E917" s="5"/>
      <c r="F917" s="5"/>
      <c r="G917" s="5"/>
      <c r="I917" s="5"/>
    </row>
    <row r="918" spans="3:9" ht="15.75" customHeight="1" x14ac:dyDescent="0.35">
      <c r="C918" s="5"/>
      <c r="E918" s="5"/>
      <c r="F918" s="5"/>
      <c r="G918" s="5"/>
      <c r="I918" s="5"/>
    </row>
    <row r="919" spans="3:9" ht="15.75" customHeight="1" x14ac:dyDescent="0.35">
      <c r="C919" s="5"/>
      <c r="E919" s="5"/>
      <c r="F919" s="5"/>
      <c r="G919" s="5"/>
      <c r="I919" s="5"/>
    </row>
    <row r="920" spans="3:9" ht="15.75" customHeight="1" x14ac:dyDescent="0.35">
      <c r="C920" s="5"/>
      <c r="E920" s="5"/>
      <c r="F920" s="5"/>
      <c r="G920" s="5"/>
      <c r="I920" s="5"/>
    </row>
    <row r="921" spans="3:9" ht="15.75" customHeight="1" x14ac:dyDescent="0.35">
      <c r="C921" s="5"/>
      <c r="E921" s="5"/>
      <c r="F921" s="5"/>
      <c r="G921" s="5"/>
      <c r="I921" s="5"/>
    </row>
    <row r="922" spans="3:9" ht="15.75" customHeight="1" x14ac:dyDescent="0.35">
      <c r="C922" s="5"/>
      <c r="E922" s="5"/>
      <c r="F922" s="5"/>
      <c r="G922" s="5"/>
      <c r="I922" s="5"/>
    </row>
    <row r="923" spans="3:9" ht="15.75" customHeight="1" x14ac:dyDescent="0.35">
      <c r="C923" s="5"/>
      <c r="E923" s="5"/>
      <c r="F923" s="5"/>
      <c r="G923" s="5"/>
      <c r="I923" s="5"/>
    </row>
    <row r="924" spans="3:9" ht="15.75" customHeight="1" x14ac:dyDescent="0.35">
      <c r="C924" s="5"/>
      <c r="E924" s="5"/>
      <c r="F924" s="5"/>
      <c r="G924" s="5"/>
      <c r="I924" s="5"/>
    </row>
    <row r="925" spans="3:9" ht="15.75" customHeight="1" x14ac:dyDescent="0.35">
      <c r="C925" s="5"/>
      <c r="E925" s="5"/>
      <c r="F925" s="5"/>
      <c r="G925" s="5"/>
      <c r="I925" s="5"/>
    </row>
    <row r="926" spans="3:9" ht="15.75" customHeight="1" x14ac:dyDescent="0.35">
      <c r="C926" s="5"/>
      <c r="E926" s="5"/>
      <c r="F926" s="5"/>
      <c r="G926" s="5"/>
      <c r="I926" s="5"/>
    </row>
    <row r="927" spans="3:9" ht="15.75" customHeight="1" x14ac:dyDescent="0.35">
      <c r="C927" s="5"/>
      <c r="E927" s="5"/>
      <c r="F927" s="5"/>
      <c r="G927" s="5"/>
      <c r="I927" s="5"/>
    </row>
    <row r="928" spans="3:9" ht="15.75" customHeight="1" x14ac:dyDescent="0.35">
      <c r="C928" s="5"/>
      <c r="E928" s="5"/>
      <c r="F928" s="5"/>
      <c r="G928" s="5"/>
      <c r="I928" s="5"/>
    </row>
    <row r="929" spans="3:9" ht="15.75" customHeight="1" x14ac:dyDescent="0.35">
      <c r="C929" s="5"/>
      <c r="E929" s="5"/>
      <c r="F929" s="5"/>
      <c r="G929" s="5"/>
      <c r="I929" s="5"/>
    </row>
    <row r="930" spans="3:9" ht="15.75" customHeight="1" x14ac:dyDescent="0.35">
      <c r="C930" s="5"/>
      <c r="E930" s="5"/>
      <c r="F930" s="5"/>
      <c r="G930" s="5"/>
      <c r="I930" s="5"/>
    </row>
    <row r="931" spans="3:9" ht="15.75" customHeight="1" x14ac:dyDescent="0.35">
      <c r="C931" s="5"/>
      <c r="E931" s="5"/>
      <c r="F931" s="5"/>
      <c r="G931" s="5"/>
      <c r="I931" s="5"/>
    </row>
    <row r="932" spans="3:9" ht="15.75" customHeight="1" x14ac:dyDescent="0.35">
      <c r="C932" s="5"/>
      <c r="E932" s="5"/>
      <c r="F932" s="5"/>
      <c r="G932" s="5"/>
      <c r="I932" s="5"/>
    </row>
    <row r="933" spans="3:9" ht="15.75" customHeight="1" x14ac:dyDescent="0.35">
      <c r="C933" s="5"/>
      <c r="E933" s="5"/>
      <c r="F933" s="5"/>
      <c r="G933" s="5"/>
      <c r="I933" s="5"/>
    </row>
    <row r="934" spans="3:9" ht="15.75" customHeight="1" x14ac:dyDescent="0.35">
      <c r="C934" s="5"/>
      <c r="E934" s="5"/>
      <c r="F934" s="5"/>
      <c r="G934" s="5"/>
      <c r="I934" s="5"/>
    </row>
    <row r="935" spans="3:9" ht="15.75" customHeight="1" x14ac:dyDescent="0.35">
      <c r="C935" s="5"/>
      <c r="E935" s="5"/>
      <c r="F935" s="5"/>
      <c r="G935" s="5"/>
      <c r="I935" s="5"/>
    </row>
    <row r="936" spans="3:9" ht="15.75" customHeight="1" x14ac:dyDescent="0.35">
      <c r="C936" s="5"/>
      <c r="E936" s="5"/>
      <c r="F936" s="5"/>
      <c r="G936" s="5"/>
      <c r="I936" s="5"/>
    </row>
    <row r="937" spans="3:9" ht="15.75" customHeight="1" x14ac:dyDescent="0.35">
      <c r="C937" s="5"/>
      <c r="E937" s="5"/>
      <c r="F937" s="5"/>
      <c r="G937" s="5"/>
      <c r="I937" s="5"/>
    </row>
    <row r="938" spans="3:9" ht="15.75" customHeight="1" x14ac:dyDescent="0.35">
      <c r="C938" s="5"/>
      <c r="E938" s="5"/>
      <c r="F938" s="5"/>
      <c r="G938" s="5"/>
      <c r="I938" s="5"/>
    </row>
    <row r="939" spans="3:9" ht="15.75" customHeight="1" x14ac:dyDescent="0.35">
      <c r="C939" s="5"/>
      <c r="E939" s="5"/>
      <c r="F939" s="5"/>
      <c r="G939" s="5"/>
      <c r="I939" s="5"/>
    </row>
    <row r="940" spans="3:9" ht="15.75" customHeight="1" x14ac:dyDescent="0.35">
      <c r="C940" s="5"/>
      <c r="E940" s="5"/>
      <c r="F940" s="5"/>
      <c r="G940" s="5"/>
      <c r="I940" s="5"/>
    </row>
    <row r="941" spans="3:9" ht="15.75" customHeight="1" x14ac:dyDescent="0.35">
      <c r="C941" s="5"/>
      <c r="E941" s="5"/>
      <c r="F941" s="5"/>
      <c r="G941" s="5"/>
      <c r="I941" s="5"/>
    </row>
    <row r="942" spans="3:9" ht="15.75" customHeight="1" x14ac:dyDescent="0.35">
      <c r="C942" s="5"/>
      <c r="E942" s="5"/>
      <c r="F942" s="5"/>
      <c r="G942" s="5"/>
      <c r="I942" s="5"/>
    </row>
    <row r="943" spans="3:9" ht="15.75" customHeight="1" x14ac:dyDescent="0.35">
      <c r="C943" s="5"/>
      <c r="E943" s="5"/>
      <c r="F943" s="5"/>
      <c r="G943" s="5"/>
      <c r="I943" s="5"/>
    </row>
    <row r="944" spans="3:9" ht="15.75" customHeight="1" x14ac:dyDescent="0.35">
      <c r="C944" s="5"/>
      <c r="E944" s="5"/>
      <c r="F944" s="5"/>
      <c r="G944" s="5"/>
      <c r="I944" s="5"/>
    </row>
    <row r="945" spans="3:9" ht="15.75" customHeight="1" x14ac:dyDescent="0.35">
      <c r="C945" s="5"/>
      <c r="E945" s="5"/>
      <c r="F945" s="5"/>
      <c r="G945" s="5"/>
      <c r="I945" s="5"/>
    </row>
    <row r="946" spans="3:9" ht="15.75" customHeight="1" x14ac:dyDescent="0.35">
      <c r="C946" s="5"/>
      <c r="E946" s="5"/>
      <c r="F946" s="5"/>
      <c r="G946" s="5"/>
      <c r="I946" s="5"/>
    </row>
    <row r="947" spans="3:9" ht="15.75" customHeight="1" x14ac:dyDescent="0.35">
      <c r="C947" s="5"/>
      <c r="E947" s="5"/>
      <c r="F947" s="5"/>
      <c r="G947" s="5"/>
      <c r="I947" s="5"/>
    </row>
    <row r="948" spans="3:9" ht="15.75" customHeight="1" x14ac:dyDescent="0.35">
      <c r="C948" s="5"/>
      <c r="E948" s="5"/>
      <c r="F948" s="5"/>
      <c r="G948" s="5"/>
      <c r="I948" s="5"/>
    </row>
    <row r="949" spans="3:9" ht="15.75" customHeight="1" x14ac:dyDescent="0.35">
      <c r="C949" s="5"/>
      <c r="E949" s="5"/>
      <c r="F949" s="5"/>
      <c r="G949" s="5"/>
      <c r="I949" s="5"/>
    </row>
    <row r="950" spans="3:9" ht="15.75" customHeight="1" x14ac:dyDescent="0.35">
      <c r="C950" s="5"/>
      <c r="E950" s="5"/>
      <c r="F950" s="5"/>
      <c r="G950" s="5"/>
      <c r="I950" s="5"/>
    </row>
    <row r="951" spans="3:9" ht="15.75" customHeight="1" x14ac:dyDescent="0.35">
      <c r="C951" s="5"/>
      <c r="E951" s="5"/>
      <c r="F951" s="5"/>
      <c r="G951" s="5"/>
      <c r="I951" s="5"/>
    </row>
    <row r="952" spans="3:9" ht="15.75" customHeight="1" x14ac:dyDescent="0.35">
      <c r="C952" s="5"/>
      <c r="E952" s="5"/>
      <c r="F952" s="5"/>
      <c r="G952" s="5"/>
      <c r="I952" s="5"/>
    </row>
    <row r="953" spans="3:9" ht="15.75" customHeight="1" x14ac:dyDescent="0.35">
      <c r="C953" s="5"/>
      <c r="E953" s="5"/>
      <c r="F953" s="5"/>
      <c r="G953" s="5"/>
      <c r="I953" s="5"/>
    </row>
    <row r="954" spans="3:9" ht="15.75" customHeight="1" x14ac:dyDescent="0.35">
      <c r="C954" s="5"/>
      <c r="E954" s="5"/>
      <c r="F954" s="5"/>
      <c r="G954" s="5"/>
      <c r="I954" s="5"/>
    </row>
    <row r="955" spans="3:9" ht="15.75" customHeight="1" x14ac:dyDescent="0.35">
      <c r="C955" s="5"/>
      <c r="E955" s="5"/>
      <c r="F955" s="5"/>
      <c r="G955" s="5"/>
      <c r="I955" s="5"/>
    </row>
    <row r="956" spans="3:9" ht="15.75" customHeight="1" x14ac:dyDescent="0.35">
      <c r="C956" s="5"/>
      <c r="E956" s="5"/>
      <c r="F956" s="5"/>
      <c r="G956" s="5"/>
      <c r="I956" s="5"/>
    </row>
    <row r="957" spans="3:9" ht="15.75" customHeight="1" x14ac:dyDescent="0.35">
      <c r="C957" s="5"/>
      <c r="E957" s="5"/>
      <c r="F957" s="5"/>
      <c r="G957" s="5"/>
      <c r="I957" s="5"/>
    </row>
    <row r="958" spans="3:9" ht="15.75" customHeight="1" x14ac:dyDescent="0.35">
      <c r="C958" s="5"/>
      <c r="E958" s="5"/>
      <c r="F958" s="5"/>
      <c r="G958" s="5"/>
      <c r="I958" s="5"/>
    </row>
    <row r="959" spans="3:9" ht="15.75" customHeight="1" x14ac:dyDescent="0.35">
      <c r="C959" s="5"/>
      <c r="E959" s="5"/>
      <c r="F959" s="5"/>
      <c r="G959" s="5"/>
      <c r="I959" s="5"/>
    </row>
    <row r="960" spans="3:9" ht="15.75" customHeight="1" x14ac:dyDescent="0.35">
      <c r="C960" s="5"/>
      <c r="E960" s="5"/>
      <c r="F960" s="5"/>
      <c r="G960" s="5"/>
      <c r="I960" s="5"/>
    </row>
    <row r="961" spans="3:9" ht="15.75" customHeight="1" x14ac:dyDescent="0.35">
      <c r="C961" s="5"/>
      <c r="E961" s="5"/>
      <c r="F961" s="5"/>
      <c r="G961" s="5"/>
      <c r="I961" s="5"/>
    </row>
    <row r="962" spans="3:9" ht="15.75" customHeight="1" x14ac:dyDescent="0.35">
      <c r="C962" s="5"/>
      <c r="E962" s="5"/>
      <c r="F962" s="5"/>
      <c r="G962" s="5"/>
      <c r="I962" s="5"/>
    </row>
    <row r="963" spans="3:9" ht="15.75" customHeight="1" x14ac:dyDescent="0.35">
      <c r="C963" s="5"/>
      <c r="E963" s="5"/>
      <c r="F963" s="5"/>
      <c r="G963" s="5"/>
      <c r="I963" s="5"/>
    </row>
    <row r="964" spans="3:9" ht="15.75" customHeight="1" x14ac:dyDescent="0.35">
      <c r="C964" s="5"/>
      <c r="E964" s="5"/>
      <c r="F964" s="5"/>
      <c r="G964" s="5"/>
      <c r="I964" s="5"/>
    </row>
    <row r="965" spans="3:9" ht="15.75" customHeight="1" x14ac:dyDescent="0.35">
      <c r="C965" s="5"/>
      <c r="E965" s="5"/>
      <c r="F965" s="5"/>
      <c r="G965" s="5"/>
      <c r="I965" s="5"/>
    </row>
    <row r="966" spans="3:9" ht="15.75" customHeight="1" x14ac:dyDescent="0.35">
      <c r="C966" s="5"/>
      <c r="E966" s="5"/>
      <c r="F966" s="5"/>
      <c r="G966" s="5"/>
      <c r="I966" s="5"/>
    </row>
    <row r="967" spans="3:9" ht="15.75" customHeight="1" x14ac:dyDescent="0.35">
      <c r="C967" s="5"/>
      <c r="E967" s="5"/>
      <c r="F967" s="5"/>
      <c r="G967" s="5"/>
      <c r="I967" s="5"/>
    </row>
    <row r="968" spans="3:9" ht="15.75" customHeight="1" x14ac:dyDescent="0.35">
      <c r="C968" s="5"/>
      <c r="E968" s="5"/>
      <c r="F968" s="5"/>
      <c r="G968" s="5"/>
      <c r="I968" s="5"/>
    </row>
    <row r="969" spans="3:9" ht="15.75" customHeight="1" x14ac:dyDescent="0.35">
      <c r="C969" s="5"/>
      <c r="E969" s="5"/>
      <c r="F969" s="5"/>
      <c r="G969" s="5"/>
      <c r="I969" s="5"/>
    </row>
    <row r="970" spans="3:9" ht="15.75" customHeight="1" x14ac:dyDescent="0.35">
      <c r="C970" s="5"/>
      <c r="E970" s="5"/>
      <c r="F970" s="5"/>
      <c r="G970" s="5"/>
      <c r="I970" s="5"/>
    </row>
    <row r="971" spans="3:9" ht="15.75" customHeight="1" x14ac:dyDescent="0.35">
      <c r="C971" s="5"/>
      <c r="E971" s="5"/>
      <c r="F971" s="5"/>
      <c r="G971" s="5"/>
      <c r="I971" s="5"/>
    </row>
    <row r="972" spans="3:9" ht="15.75" customHeight="1" x14ac:dyDescent="0.35">
      <c r="C972" s="5"/>
      <c r="E972" s="5"/>
      <c r="F972" s="5"/>
      <c r="G972" s="5"/>
      <c r="I972" s="5"/>
    </row>
    <row r="973" spans="3:9" ht="15.75" customHeight="1" x14ac:dyDescent="0.35">
      <c r="C973" s="5"/>
      <c r="E973" s="5"/>
      <c r="F973" s="5"/>
      <c r="G973" s="5"/>
      <c r="I973" s="5"/>
    </row>
    <row r="974" spans="3:9" ht="15.75" customHeight="1" x14ac:dyDescent="0.35">
      <c r="C974" s="5"/>
      <c r="E974" s="5"/>
      <c r="F974" s="5"/>
      <c r="G974" s="5"/>
      <c r="I974" s="5"/>
    </row>
    <row r="975" spans="3:9" ht="15.75" customHeight="1" x14ac:dyDescent="0.35">
      <c r="C975" s="5"/>
      <c r="E975" s="5"/>
      <c r="F975" s="5"/>
      <c r="G975" s="5"/>
      <c r="I975" s="5"/>
    </row>
    <row r="976" spans="3:9" ht="15.75" customHeight="1" x14ac:dyDescent="0.35">
      <c r="C976" s="5"/>
      <c r="E976" s="5"/>
      <c r="F976" s="5"/>
      <c r="G976" s="5"/>
      <c r="I976" s="5"/>
    </row>
    <row r="977" spans="3:9" ht="15.75" customHeight="1" x14ac:dyDescent="0.35">
      <c r="C977" s="5"/>
      <c r="E977" s="5"/>
      <c r="F977" s="5"/>
      <c r="G977" s="5"/>
      <c r="I977" s="5"/>
    </row>
    <row r="978" spans="3:9" ht="15.75" customHeight="1" x14ac:dyDescent="0.35">
      <c r="C978" s="5"/>
      <c r="E978" s="5"/>
      <c r="F978" s="5"/>
      <c r="G978" s="5"/>
      <c r="I978" s="5"/>
    </row>
    <row r="979" spans="3:9" ht="15.75" customHeight="1" x14ac:dyDescent="0.35">
      <c r="C979" s="5"/>
      <c r="E979" s="5"/>
      <c r="F979" s="5"/>
      <c r="G979" s="5"/>
      <c r="I979" s="5"/>
    </row>
    <row r="980" spans="3:9" ht="15.75" customHeight="1" x14ac:dyDescent="0.35">
      <c r="C980" s="5"/>
      <c r="E980" s="5"/>
      <c r="F980" s="5"/>
      <c r="G980" s="5"/>
      <c r="I980" s="5"/>
    </row>
    <row r="981" spans="3:9" ht="15.75" customHeight="1" x14ac:dyDescent="0.35">
      <c r="C981" s="5"/>
      <c r="E981" s="5"/>
      <c r="F981" s="5"/>
      <c r="G981" s="5"/>
      <c r="I981" s="5"/>
    </row>
    <row r="982" spans="3:9" ht="15.75" customHeight="1" x14ac:dyDescent="0.35">
      <c r="C982" s="5"/>
      <c r="E982" s="5"/>
      <c r="F982" s="5"/>
      <c r="G982" s="5"/>
      <c r="I982" s="5"/>
    </row>
    <row r="983" spans="3:9" ht="15.75" customHeight="1" x14ac:dyDescent="0.35">
      <c r="C983" s="5"/>
      <c r="E983" s="5"/>
      <c r="F983" s="5"/>
      <c r="G983" s="5"/>
      <c r="I983" s="5"/>
    </row>
    <row r="984" spans="3:9" ht="15.75" customHeight="1" x14ac:dyDescent="0.35">
      <c r="C984" s="5"/>
      <c r="E984" s="5"/>
      <c r="F984" s="5"/>
      <c r="G984" s="5"/>
      <c r="I984" s="5"/>
    </row>
    <row r="985" spans="3:9" ht="15.75" customHeight="1" x14ac:dyDescent="0.35">
      <c r="C985" s="5"/>
      <c r="E985" s="5"/>
      <c r="F985" s="5"/>
      <c r="G985" s="5"/>
      <c r="I985" s="5"/>
    </row>
    <row r="986" spans="3:9" ht="15.75" customHeight="1" x14ac:dyDescent="0.35">
      <c r="C986" s="5"/>
      <c r="E986" s="5"/>
      <c r="F986" s="5"/>
      <c r="G986" s="5"/>
      <c r="I986" s="5"/>
    </row>
    <row r="987" spans="3:9" ht="15.75" customHeight="1" x14ac:dyDescent="0.35">
      <c r="C987" s="5"/>
      <c r="E987" s="5"/>
      <c r="F987" s="5"/>
      <c r="G987" s="5"/>
      <c r="I987" s="5"/>
    </row>
    <row r="988" spans="3:9" ht="15.75" customHeight="1" x14ac:dyDescent="0.35">
      <c r="C988" s="5"/>
      <c r="E988" s="5"/>
      <c r="F988" s="5"/>
      <c r="G988" s="5"/>
      <c r="I988" s="5"/>
    </row>
    <row r="989" spans="3:9" ht="15.75" customHeight="1" x14ac:dyDescent="0.35">
      <c r="C989" s="5"/>
      <c r="E989" s="5"/>
      <c r="F989" s="5"/>
      <c r="G989" s="5"/>
      <c r="I989" s="5"/>
    </row>
    <row r="990" spans="3:9" ht="15.75" customHeight="1" x14ac:dyDescent="0.35">
      <c r="C990" s="5"/>
      <c r="E990" s="5"/>
      <c r="F990" s="5"/>
      <c r="G990" s="5"/>
      <c r="I990" s="5"/>
    </row>
    <row r="991" spans="3:9" ht="15.75" customHeight="1" x14ac:dyDescent="0.35">
      <c r="C991" s="5"/>
      <c r="E991" s="5"/>
      <c r="F991" s="5"/>
      <c r="G991" s="5"/>
      <c r="I991" s="5"/>
    </row>
    <row r="992" spans="3:9" ht="15.75" customHeight="1" x14ac:dyDescent="0.35">
      <c r="C992" s="5"/>
      <c r="E992" s="5"/>
      <c r="F992" s="5"/>
      <c r="G992" s="5"/>
      <c r="I992" s="5"/>
    </row>
    <row r="993" spans="3:9" ht="15.75" customHeight="1" x14ac:dyDescent="0.35">
      <c r="C993" s="5"/>
      <c r="E993" s="5"/>
      <c r="F993" s="5"/>
      <c r="G993" s="5"/>
      <c r="I993" s="5"/>
    </row>
    <row r="994" spans="3:9" ht="15.75" customHeight="1" x14ac:dyDescent="0.35">
      <c r="C994" s="5"/>
      <c r="E994" s="5"/>
      <c r="F994" s="5"/>
      <c r="G994" s="5"/>
      <c r="I994" s="5"/>
    </row>
    <row r="995" spans="3:9" ht="15.75" customHeight="1" x14ac:dyDescent="0.35">
      <c r="C995" s="5"/>
      <c r="E995" s="5"/>
      <c r="F995" s="5"/>
      <c r="G995" s="5"/>
      <c r="I995" s="5"/>
    </row>
    <row r="996" spans="3:9" ht="15.75" customHeight="1" x14ac:dyDescent="0.35">
      <c r="C996" s="5"/>
      <c r="E996" s="5"/>
      <c r="F996" s="5"/>
      <c r="G996" s="5"/>
      <c r="I996" s="5"/>
    </row>
    <row r="997" spans="3:9" ht="15.75" customHeight="1" x14ac:dyDescent="0.35">
      <c r="C997" s="5"/>
      <c r="E997" s="5"/>
      <c r="F997" s="5"/>
      <c r="G997" s="5"/>
      <c r="I997" s="5"/>
    </row>
    <row r="998" spans="3:9" ht="15.75" customHeight="1" x14ac:dyDescent="0.35">
      <c r="C998" s="5"/>
      <c r="E998" s="5"/>
      <c r="F998" s="5"/>
      <c r="G998" s="5"/>
      <c r="I998" s="5"/>
    </row>
    <row r="999" spans="3:9" ht="15.75" customHeight="1" x14ac:dyDescent="0.35">
      <c r="C999" s="5"/>
      <c r="E999" s="5"/>
      <c r="F999" s="5"/>
      <c r="G999" s="5"/>
      <c r="I999" s="5"/>
    </row>
    <row r="1000" spans="3:9" ht="15.75" customHeight="1" x14ac:dyDescent="0.35">
      <c r="C1000" s="5"/>
      <c r="E1000" s="5"/>
      <c r="F1000" s="5"/>
      <c r="G1000" s="5"/>
      <c r="I1000" s="5"/>
    </row>
  </sheetData>
  <autoFilter ref="H1:H1000" xr:uid="{00000000-0001-0000-0000-000000000000}"/>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D236-8FD9-4EB7-B84F-9F0E8461F969}">
  <sheetPr filterMode="1"/>
  <dimension ref="A1:N301"/>
  <sheetViews>
    <sheetView tabSelected="1" topLeftCell="G1" workbookViewId="0">
      <selection activeCell="N57" sqref="N57"/>
    </sheetView>
  </sheetViews>
  <sheetFormatPr defaultRowHeight="14.5" x14ac:dyDescent="0.35"/>
  <cols>
    <col min="1" max="1" width="8.7265625" style="14"/>
    <col min="2" max="2" width="15" style="14" customWidth="1"/>
    <col min="3" max="3" width="55.1796875" style="14" customWidth="1"/>
    <col min="4" max="4" width="16" style="14" customWidth="1"/>
    <col min="5" max="5" width="13.6328125" style="14" customWidth="1"/>
    <col min="6" max="6" width="14.54296875" style="14" customWidth="1"/>
    <col min="7" max="8" width="12" style="14" customWidth="1"/>
    <col min="9" max="9" width="17.08984375" style="14" customWidth="1"/>
    <col min="10" max="10" width="12.6328125" customWidth="1"/>
    <col min="11" max="11" width="12.81640625" customWidth="1"/>
    <col min="12" max="12" width="9.08984375" customWidth="1"/>
    <col min="13" max="13" width="11.36328125" customWidth="1"/>
  </cols>
  <sheetData>
    <row r="1" spans="1:14" x14ac:dyDescent="0.35">
      <c r="A1" s="15" t="s">
        <v>0</v>
      </c>
      <c r="B1" s="15" t="s">
        <v>1</v>
      </c>
      <c r="C1" s="15" t="s">
        <v>2</v>
      </c>
      <c r="D1" s="15" t="s">
        <v>3</v>
      </c>
      <c r="E1" s="15" t="s">
        <v>4</v>
      </c>
      <c r="F1" s="15" t="s">
        <v>5</v>
      </c>
      <c r="G1" s="15" t="s">
        <v>1130</v>
      </c>
      <c r="H1" s="15" t="s">
        <v>7</v>
      </c>
      <c r="I1" s="15" t="s">
        <v>8</v>
      </c>
      <c r="K1" s="27" t="s">
        <v>1866</v>
      </c>
      <c r="L1" s="24" t="s">
        <v>1867</v>
      </c>
      <c r="M1" s="26" t="s">
        <v>1125</v>
      </c>
      <c r="N1" s="26" t="s">
        <v>1868</v>
      </c>
    </row>
    <row r="2" spans="1:14" hidden="1" x14ac:dyDescent="0.35">
      <c r="A2" s="16" t="s">
        <v>10</v>
      </c>
      <c r="B2" s="14" t="s">
        <v>106</v>
      </c>
      <c r="C2" s="14" t="s">
        <v>1131</v>
      </c>
      <c r="G2" s="14" t="s">
        <v>1132</v>
      </c>
      <c r="H2" s="14" t="s">
        <v>14</v>
      </c>
      <c r="I2" s="14" t="s">
        <v>1133</v>
      </c>
      <c r="K2" s="19" t="s">
        <v>1126</v>
      </c>
    </row>
    <row r="3" spans="1:14" hidden="1" x14ac:dyDescent="0.35">
      <c r="A3" s="16" t="s">
        <v>10</v>
      </c>
      <c r="B3" s="14" t="s">
        <v>69</v>
      </c>
      <c r="C3" s="14" t="s">
        <v>1134</v>
      </c>
      <c r="G3" s="14" t="s">
        <v>1132</v>
      </c>
      <c r="H3" s="14" t="s">
        <v>14</v>
      </c>
      <c r="I3" s="14" t="s">
        <v>71</v>
      </c>
      <c r="K3" s="19" t="s">
        <v>1127</v>
      </c>
    </row>
    <row r="4" spans="1:14" ht="58" hidden="1" x14ac:dyDescent="0.35">
      <c r="A4" s="16" t="s">
        <v>10</v>
      </c>
      <c r="B4" s="14" t="s">
        <v>194</v>
      </c>
      <c r="C4" s="14" t="s">
        <v>1135</v>
      </c>
      <c r="G4" s="14" t="s">
        <v>1132</v>
      </c>
      <c r="H4" s="14" t="s">
        <v>14</v>
      </c>
      <c r="I4" s="14" t="s">
        <v>1136</v>
      </c>
      <c r="K4" s="19" t="s">
        <v>1128</v>
      </c>
    </row>
    <row r="5" spans="1:14" ht="58" hidden="1" x14ac:dyDescent="0.35">
      <c r="A5" s="16" t="s">
        <v>10</v>
      </c>
      <c r="B5" s="14" t="s">
        <v>164</v>
      </c>
      <c r="C5" s="14" t="s">
        <v>1137</v>
      </c>
      <c r="G5" s="14" t="s">
        <v>1132</v>
      </c>
      <c r="H5" s="14" t="s">
        <v>14</v>
      </c>
      <c r="I5" s="14" t="s">
        <v>167</v>
      </c>
      <c r="K5" s="19" t="s">
        <v>1129</v>
      </c>
    </row>
    <row r="6" spans="1:14" ht="87" hidden="1" x14ac:dyDescent="0.35">
      <c r="A6" s="16" t="s">
        <v>10</v>
      </c>
      <c r="B6" s="14" t="s">
        <v>1138</v>
      </c>
      <c r="C6" s="14" t="s">
        <v>1139</v>
      </c>
      <c r="G6" s="14" t="s">
        <v>1132</v>
      </c>
      <c r="H6" s="14" t="s">
        <v>14</v>
      </c>
      <c r="I6" s="14" t="s">
        <v>1140</v>
      </c>
    </row>
    <row r="7" spans="1:14" ht="29" hidden="1" x14ac:dyDescent="0.35">
      <c r="A7" s="16" t="s">
        <v>10</v>
      </c>
      <c r="B7" s="14" t="s">
        <v>180</v>
      </c>
      <c r="C7" s="14" t="s">
        <v>1141</v>
      </c>
      <c r="G7" s="14" t="s">
        <v>1132</v>
      </c>
      <c r="H7" s="14" t="s">
        <v>14</v>
      </c>
      <c r="I7" s="14" t="s">
        <v>1142</v>
      </c>
    </row>
    <row r="8" spans="1:14" ht="29" hidden="1" x14ac:dyDescent="0.35">
      <c r="A8" s="16" t="s">
        <v>10</v>
      </c>
      <c r="B8" s="14" t="s">
        <v>128</v>
      </c>
      <c r="C8" s="14" t="s">
        <v>1143</v>
      </c>
      <c r="G8" s="14" t="s">
        <v>1132</v>
      </c>
      <c r="H8" s="14" t="s">
        <v>14</v>
      </c>
      <c r="I8" s="14" t="s">
        <v>1144</v>
      </c>
    </row>
    <row r="9" spans="1:14" ht="29" hidden="1" x14ac:dyDescent="0.35">
      <c r="A9" s="16" t="s">
        <v>10</v>
      </c>
      <c r="B9" s="14" t="s">
        <v>258</v>
      </c>
      <c r="C9" s="14" t="s">
        <v>1145</v>
      </c>
      <c r="G9" s="14" t="s">
        <v>1132</v>
      </c>
      <c r="H9" s="14" t="s">
        <v>14</v>
      </c>
      <c r="I9" s="14" t="s">
        <v>260</v>
      </c>
    </row>
    <row r="10" spans="1:14" ht="72.5" hidden="1" x14ac:dyDescent="0.35">
      <c r="A10" s="16" t="s">
        <v>10</v>
      </c>
      <c r="B10" s="14" t="s">
        <v>370</v>
      </c>
      <c r="C10" s="14" t="s">
        <v>371</v>
      </c>
      <c r="G10" s="14" t="s">
        <v>1132</v>
      </c>
      <c r="H10" s="14" t="s">
        <v>14</v>
      </c>
      <c r="I10" s="14" t="s">
        <v>372</v>
      </c>
    </row>
    <row r="11" spans="1:14" ht="29" hidden="1" x14ac:dyDescent="0.35">
      <c r="A11" s="16" t="s">
        <v>10</v>
      </c>
      <c r="B11" s="14" t="s">
        <v>22</v>
      </c>
      <c r="C11" s="14" t="s">
        <v>1146</v>
      </c>
      <c r="G11" s="14" t="s">
        <v>1132</v>
      </c>
      <c r="H11" s="14" t="s">
        <v>24</v>
      </c>
      <c r="I11" s="14" t="s">
        <v>25</v>
      </c>
    </row>
    <row r="12" spans="1:14" ht="58" hidden="1" x14ac:dyDescent="0.35">
      <c r="A12" s="16" t="s">
        <v>10</v>
      </c>
      <c r="B12" s="14" t="s">
        <v>319</v>
      </c>
      <c r="C12" s="14" t="s">
        <v>1147</v>
      </c>
      <c r="G12" s="14" t="s">
        <v>1132</v>
      </c>
      <c r="H12" s="14" t="s">
        <v>14</v>
      </c>
      <c r="I12" s="14" t="s">
        <v>1148</v>
      </c>
    </row>
    <row r="13" spans="1:14" ht="29" hidden="1" x14ac:dyDescent="0.35">
      <c r="A13" s="16" t="s">
        <v>10</v>
      </c>
      <c r="B13" s="14" t="s">
        <v>124</v>
      </c>
      <c r="C13" s="14" t="s">
        <v>1149</v>
      </c>
      <c r="G13" s="14" t="s">
        <v>1132</v>
      </c>
      <c r="H13" s="14" t="s">
        <v>14</v>
      </c>
      <c r="I13" s="14" t="s">
        <v>1150</v>
      </c>
    </row>
    <row r="14" spans="1:14" ht="43.5" hidden="1" x14ac:dyDescent="0.35">
      <c r="A14" s="16" t="s">
        <v>10</v>
      </c>
      <c r="B14" s="14" t="s">
        <v>27</v>
      </c>
      <c r="C14" s="14" t="s">
        <v>1151</v>
      </c>
      <c r="G14" s="14" t="s">
        <v>1132</v>
      </c>
      <c r="H14" s="14" t="s">
        <v>14</v>
      </c>
      <c r="I14" s="14" t="s">
        <v>1152</v>
      </c>
    </row>
    <row r="15" spans="1:14" ht="58" hidden="1" x14ac:dyDescent="0.35">
      <c r="A15" s="16" t="s">
        <v>10</v>
      </c>
      <c r="B15" s="14" t="s">
        <v>11</v>
      </c>
      <c r="C15" s="14" t="s">
        <v>1153</v>
      </c>
      <c r="G15" s="14" t="s">
        <v>1132</v>
      </c>
      <c r="H15" s="14" t="s">
        <v>14</v>
      </c>
      <c r="I15" s="14" t="s">
        <v>1154</v>
      </c>
    </row>
    <row r="16" spans="1:14" ht="43.5" hidden="1" x14ac:dyDescent="0.35">
      <c r="A16" s="16" t="s">
        <v>10</v>
      </c>
      <c r="B16" s="14" t="s">
        <v>168</v>
      </c>
      <c r="C16" s="14" t="s">
        <v>169</v>
      </c>
      <c r="G16" s="14" t="s">
        <v>1132</v>
      </c>
      <c r="H16" s="14" t="s">
        <v>14</v>
      </c>
      <c r="I16" s="14" t="s">
        <v>170</v>
      </c>
    </row>
    <row r="17" spans="1:9" ht="58" hidden="1" x14ac:dyDescent="0.35">
      <c r="A17" s="16" t="s">
        <v>10</v>
      </c>
      <c r="B17" s="14" t="s">
        <v>1155</v>
      </c>
      <c r="C17" s="14" t="s">
        <v>1156</v>
      </c>
      <c r="G17" s="14" t="s">
        <v>1132</v>
      </c>
      <c r="H17" s="14" t="s">
        <v>24</v>
      </c>
      <c r="I17" s="14" t="s">
        <v>1157</v>
      </c>
    </row>
    <row r="18" spans="1:9" ht="58" hidden="1" x14ac:dyDescent="0.35">
      <c r="A18" s="16" t="s">
        <v>10</v>
      </c>
      <c r="B18" s="14" t="s">
        <v>171</v>
      </c>
      <c r="C18" s="14" t="s">
        <v>172</v>
      </c>
      <c r="G18" s="14" t="s">
        <v>1132</v>
      </c>
      <c r="H18" s="14" t="s">
        <v>14</v>
      </c>
      <c r="I18" s="14" t="s">
        <v>173</v>
      </c>
    </row>
    <row r="19" spans="1:9" ht="29" hidden="1" x14ac:dyDescent="0.35">
      <c r="A19" s="16" t="s">
        <v>10</v>
      </c>
      <c r="B19" s="14" t="s">
        <v>63</v>
      </c>
      <c r="C19" s="14" t="s">
        <v>1158</v>
      </c>
      <c r="G19" s="14" t="s">
        <v>1132</v>
      </c>
      <c r="H19" s="14" t="s">
        <v>14</v>
      </c>
      <c r="I19" s="14" t="s">
        <v>1159</v>
      </c>
    </row>
    <row r="20" spans="1:9" ht="29" hidden="1" x14ac:dyDescent="0.35">
      <c r="A20" s="16" t="s">
        <v>10</v>
      </c>
      <c r="B20" s="14" t="s">
        <v>244</v>
      </c>
      <c r="C20" s="14" t="s">
        <v>245</v>
      </c>
      <c r="G20" s="14" t="s">
        <v>1132</v>
      </c>
      <c r="H20" s="14" t="s">
        <v>14</v>
      </c>
      <c r="I20" s="14" t="s">
        <v>247</v>
      </c>
    </row>
    <row r="21" spans="1:9" ht="43.5" hidden="1" x14ac:dyDescent="0.35">
      <c r="A21" s="16" t="s">
        <v>10</v>
      </c>
      <c r="B21" s="14" t="s">
        <v>309</v>
      </c>
      <c r="C21" s="14" t="s">
        <v>310</v>
      </c>
      <c r="G21" s="14" t="s">
        <v>1132</v>
      </c>
      <c r="H21" s="14" t="s">
        <v>14</v>
      </c>
      <c r="I21" s="14" t="s">
        <v>312</v>
      </c>
    </row>
    <row r="22" spans="1:9" ht="58" hidden="1" x14ac:dyDescent="0.35">
      <c r="A22" s="16" t="s">
        <v>10</v>
      </c>
      <c r="B22" s="14" t="s">
        <v>237</v>
      </c>
      <c r="C22" s="14" t="s">
        <v>1160</v>
      </c>
      <c r="G22" s="14" t="s">
        <v>1132</v>
      </c>
      <c r="H22" s="14" t="s">
        <v>14</v>
      </c>
      <c r="I22" s="14" t="s">
        <v>1161</v>
      </c>
    </row>
    <row r="23" spans="1:9" ht="43.5" hidden="1" x14ac:dyDescent="0.35">
      <c r="A23" s="16" t="s">
        <v>10</v>
      </c>
      <c r="B23" s="14" t="s">
        <v>329</v>
      </c>
      <c r="C23" s="14" t="s">
        <v>1162</v>
      </c>
      <c r="G23" s="14" t="s">
        <v>1132</v>
      </c>
      <c r="H23" s="14" t="s">
        <v>14</v>
      </c>
      <c r="I23" s="14" t="s">
        <v>1163</v>
      </c>
    </row>
    <row r="24" spans="1:9" ht="43.5" hidden="1" x14ac:dyDescent="0.35">
      <c r="A24" s="16" t="s">
        <v>10</v>
      </c>
      <c r="B24" s="14" t="s">
        <v>326</v>
      </c>
      <c r="C24" s="14" t="s">
        <v>1164</v>
      </c>
      <c r="G24" s="14" t="s">
        <v>1132</v>
      </c>
      <c r="H24" s="14" t="s">
        <v>24</v>
      </c>
      <c r="I24" s="14" t="s">
        <v>1165</v>
      </c>
    </row>
    <row r="25" spans="1:9" ht="43.5" hidden="1" x14ac:dyDescent="0.35">
      <c r="A25" s="16" t="s">
        <v>10</v>
      </c>
      <c r="B25" s="14" t="s">
        <v>51</v>
      </c>
      <c r="C25" s="14" t="s">
        <v>1166</v>
      </c>
      <c r="G25" s="14" t="s">
        <v>1132</v>
      </c>
      <c r="H25" s="14" t="s">
        <v>14</v>
      </c>
      <c r="I25" s="14" t="s">
        <v>1167</v>
      </c>
    </row>
    <row r="26" spans="1:9" ht="29" hidden="1" x14ac:dyDescent="0.35">
      <c r="A26" s="16" t="s">
        <v>10</v>
      </c>
      <c r="B26" s="14" t="s">
        <v>1168</v>
      </c>
      <c r="C26" s="14" t="s">
        <v>1169</v>
      </c>
      <c r="G26" s="14" t="s">
        <v>1132</v>
      </c>
      <c r="H26" s="14" t="s">
        <v>14</v>
      </c>
      <c r="I26" s="14" t="s">
        <v>1170</v>
      </c>
    </row>
    <row r="27" spans="1:9" ht="29" hidden="1" x14ac:dyDescent="0.35">
      <c r="A27" s="16" t="s">
        <v>10</v>
      </c>
      <c r="B27" s="14" t="s">
        <v>86</v>
      </c>
      <c r="C27" s="14" t="s">
        <v>87</v>
      </c>
      <c r="G27" s="14" t="s">
        <v>1132</v>
      </c>
      <c r="H27" s="14" t="s">
        <v>14</v>
      </c>
      <c r="I27" s="14" t="s">
        <v>89</v>
      </c>
    </row>
    <row r="28" spans="1:9" ht="58" hidden="1" x14ac:dyDescent="0.35">
      <c r="A28" s="16" t="s">
        <v>10</v>
      </c>
      <c r="B28" s="14" t="s">
        <v>313</v>
      </c>
      <c r="C28" s="14" t="s">
        <v>314</v>
      </c>
      <c r="G28" s="14" t="s">
        <v>1132</v>
      </c>
      <c r="H28" s="14" t="s">
        <v>14</v>
      </c>
      <c r="I28" s="14" t="s">
        <v>315</v>
      </c>
    </row>
    <row r="29" spans="1:9" ht="87" hidden="1" x14ac:dyDescent="0.35">
      <c r="A29" s="16" t="s">
        <v>10</v>
      </c>
      <c r="B29" s="14" t="s">
        <v>316</v>
      </c>
      <c r="C29" s="14" t="s">
        <v>1171</v>
      </c>
      <c r="G29" s="14" t="s">
        <v>1132</v>
      </c>
      <c r="H29" s="14" t="s">
        <v>14</v>
      </c>
      <c r="I29" s="14" t="s">
        <v>1172</v>
      </c>
    </row>
    <row r="30" spans="1:9" ht="72.5" hidden="1" x14ac:dyDescent="0.35">
      <c r="A30" s="16" t="s">
        <v>10</v>
      </c>
      <c r="B30" s="14" t="s">
        <v>277</v>
      </c>
      <c r="C30" s="14" t="s">
        <v>278</v>
      </c>
      <c r="G30" s="14" t="s">
        <v>1132</v>
      </c>
      <c r="H30" s="14" t="s">
        <v>14</v>
      </c>
      <c r="I30" s="14" t="s">
        <v>279</v>
      </c>
    </row>
    <row r="31" spans="1:9" ht="29" hidden="1" x14ac:dyDescent="0.35">
      <c r="A31" s="16" t="s">
        <v>10</v>
      </c>
      <c r="B31" s="14" t="s">
        <v>1173</v>
      </c>
      <c r="C31" s="14" t="s">
        <v>1174</v>
      </c>
      <c r="G31" s="14" t="s">
        <v>1132</v>
      </c>
      <c r="H31" s="14" t="s">
        <v>14</v>
      </c>
      <c r="I31" s="14" t="s">
        <v>1175</v>
      </c>
    </row>
    <row r="32" spans="1:9" ht="43.5" hidden="1" x14ac:dyDescent="0.35">
      <c r="A32" s="16" t="s">
        <v>10</v>
      </c>
      <c r="B32" s="14" t="s">
        <v>177</v>
      </c>
      <c r="C32" s="14" t="s">
        <v>1176</v>
      </c>
      <c r="G32" s="14" t="s">
        <v>1132</v>
      </c>
      <c r="H32" s="14" t="s">
        <v>14</v>
      </c>
      <c r="I32" s="14" t="s">
        <v>1177</v>
      </c>
    </row>
    <row r="33" spans="1:9" hidden="1" x14ac:dyDescent="0.35">
      <c r="A33" s="16" t="s">
        <v>10</v>
      </c>
      <c r="B33" s="14" t="s">
        <v>99</v>
      </c>
      <c r="C33" s="14" t="s">
        <v>1178</v>
      </c>
      <c r="G33" s="14" t="s">
        <v>1132</v>
      </c>
      <c r="H33" s="14" t="s">
        <v>14</v>
      </c>
      <c r="I33" s="14" t="s">
        <v>102</v>
      </c>
    </row>
    <row r="34" spans="1:9" ht="72.5" hidden="1" x14ac:dyDescent="0.35">
      <c r="A34" s="16" t="s">
        <v>10</v>
      </c>
      <c r="B34" s="14" t="s">
        <v>156</v>
      </c>
      <c r="C34" s="14" t="s">
        <v>1179</v>
      </c>
      <c r="G34" s="14" t="s">
        <v>1132</v>
      </c>
      <c r="H34" s="14" t="s">
        <v>14</v>
      </c>
      <c r="I34" s="14" t="s">
        <v>158</v>
      </c>
    </row>
    <row r="35" spans="1:9" ht="43.5" hidden="1" x14ac:dyDescent="0.35">
      <c r="A35" s="16" t="s">
        <v>10</v>
      </c>
      <c r="B35" s="14" t="s">
        <v>1180</v>
      </c>
      <c r="C35" s="14" t="s">
        <v>1181</v>
      </c>
      <c r="G35" s="14" t="s">
        <v>1132</v>
      </c>
      <c r="H35" s="14" t="s">
        <v>24</v>
      </c>
      <c r="I35" s="14" t="s">
        <v>1182</v>
      </c>
    </row>
    <row r="36" spans="1:9" ht="43.5" hidden="1" x14ac:dyDescent="0.35">
      <c r="A36" s="16" t="s">
        <v>10</v>
      </c>
      <c r="B36" s="14" t="s">
        <v>66</v>
      </c>
      <c r="C36" s="14" t="s">
        <v>1183</v>
      </c>
      <c r="G36" s="14" t="s">
        <v>1132</v>
      </c>
      <c r="H36" s="14" t="s">
        <v>14</v>
      </c>
      <c r="I36" s="14" t="s">
        <v>68</v>
      </c>
    </row>
    <row r="37" spans="1:9" ht="43.5" hidden="1" x14ac:dyDescent="0.35">
      <c r="A37" s="16" t="s">
        <v>10</v>
      </c>
      <c r="B37" s="14" t="s">
        <v>109</v>
      </c>
      <c r="C37" s="14" t="s">
        <v>110</v>
      </c>
      <c r="G37" s="14" t="s">
        <v>1132</v>
      </c>
      <c r="H37" s="14" t="s">
        <v>14</v>
      </c>
      <c r="I37" s="14" t="s">
        <v>111</v>
      </c>
    </row>
    <row r="38" spans="1:9" ht="87" hidden="1" x14ac:dyDescent="0.35">
      <c r="A38" s="16" t="s">
        <v>10</v>
      </c>
      <c r="B38" s="14" t="s">
        <v>79</v>
      </c>
      <c r="C38" s="14" t="s">
        <v>1184</v>
      </c>
      <c r="G38" s="14" t="s">
        <v>1132</v>
      </c>
      <c r="H38" s="14" t="s">
        <v>14</v>
      </c>
      <c r="I38" s="14" t="s">
        <v>81</v>
      </c>
    </row>
    <row r="39" spans="1:9" ht="58" hidden="1" x14ac:dyDescent="0.35">
      <c r="A39" s="16" t="s">
        <v>10</v>
      </c>
      <c r="B39" s="14" t="s">
        <v>146</v>
      </c>
      <c r="C39" s="14" t="s">
        <v>147</v>
      </c>
      <c r="G39" s="14" t="s">
        <v>1132</v>
      </c>
      <c r="H39" s="14" t="s">
        <v>14</v>
      </c>
      <c r="I39" s="14" t="s">
        <v>149</v>
      </c>
    </row>
    <row r="40" spans="1:9" hidden="1" x14ac:dyDescent="0.35">
      <c r="A40" s="16" t="s">
        <v>10</v>
      </c>
      <c r="B40" s="14" t="s">
        <v>1185</v>
      </c>
      <c r="C40" s="14" t="s">
        <v>1186</v>
      </c>
      <c r="G40" s="14" t="s">
        <v>1132</v>
      </c>
      <c r="H40" s="14" t="s">
        <v>14</v>
      </c>
      <c r="I40" s="14" t="s">
        <v>1187</v>
      </c>
    </row>
    <row r="41" spans="1:9" ht="72.5" hidden="1" x14ac:dyDescent="0.35">
      <c r="A41" s="16" t="s">
        <v>10</v>
      </c>
      <c r="B41" s="14" t="s">
        <v>349</v>
      </c>
      <c r="C41" s="14" t="s">
        <v>1188</v>
      </c>
      <c r="G41" s="14" t="s">
        <v>1132</v>
      </c>
      <c r="H41" s="14" t="s">
        <v>14</v>
      </c>
      <c r="I41" s="14" t="s">
        <v>351</v>
      </c>
    </row>
    <row r="42" spans="1:9" ht="29" hidden="1" x14ac:dyDescent="0.35">
      <c r="A42" s="16" t="s">
        <v>10</v>
      </c>
      <c r="B42" s="14" t="s">
        <v>1189</v>
      </c>
      <c r="C42" s="14" t="s">
        <v>1190</v>
      </c>
      <c r="G42" s="14" t="s">
        <v>1132</v>
      </c>
      <c r="H42" s="14" t="s">
        <v>14</v>
      </c>
      <c r="I42" s="14" t="s">
        <v>321</v>
      </c>
    </row>
    <row r="43" spans="1:9" ht="29" hidden="1" x14ac:dyDescent="0.35">
      <c r="A43" s="16" t="s">
        <v>10</v>
      </c>
      <c r="B43" s="14" t="s">
        <v>200</v>
      </c>
      <c r="C43" s="14" t="s">
        <v>1191</v>
      </c>
      <c r="G43" s="14" t="s">
        <v>1132</v>
      </c>
      <c r="H43" s="14" t="s">
        <v>24</v>
      </c>
      <c r="I43" s="14" t="s">
        <v>203</v>
      </c>
    </row>
    <row r="44" spans="1:9" ht="72.5" hidden="1" x14ac:dyDescent="0.35">
      <c r="A44" s="16" t="s">
        <v>10</v>
      </c>
      <c r="B44" s="14" t="s">
        <v>131</v>
      </c>
      <c r="C44" s="14" t="s">
        <v>1192</v>
      </c>
      <c r="G44" s="14" t="s">
        <v>1132</v>
      </c>
      <c r="H44" s="14" t="s">
        <v>14</v>
      </c>
      <c r="I44" s="14" t="s">
        <v>1193</v>
      </c>
    </row>
    <row r="45" spans="1:9" ht="29" hidden="1" x14ac:dyDescent="0.35">
      <c r="A45" s="16" t="s">
        <v>10</v>
      </c>
      <c r="B45" s="14" t="s">
        <v>305</v>
      </c>
      <c r="C45" s="14" t="s">
        <v>1194</v>
      </c>
      <c r="G45" s="14" t="s">
        <v>1132</v>
      </c>
      <c r="H45" s="14" t="s">
        <v>14</v>
      </c>
      <c r="I45" s="14" t="s">
        <v>1195</v>
      </c>
    </row>
    <row r="46" spans="1:9" hidden="1" x14ac:dyDescent="0.35">
      <c r="A46" s="16" t="s">
        <v>10</v>
      </c>
      <c r="B46" s="14" t="s">
        <v>43</v>
      </c>
      <c r="C46" s="14" t="s">
        <v>1196</v>
      </c>
      <c r="G46" s="14" t="s">
        <v>1132</v>
      </c>
      <c r="H46" s="14" t="s">
        <v>14</v>
      </c>
      <c r="I46" s="14" t="s">
        <v>1197</v>
      </c>
    </row>
    <row r="47" spans="1:9" ht="72.5" hidden="1" x14ac:dyDescent="0.35">
      <c r="A47" s="16" t="s">
        <v>10</v>
      </c>
      <c r="B47" s="14" t="s">
        <v>103</v>
      </c>
      <c r="C47" s="14" t="s">
        <v>1198</v>
      </c>
      <c r="G47" s="14" t="s">
        <v>1132</v>
      </c>
      <c r="H47" s="14" t="s">
        <v>14</v>
      </c>
      <c r="I47" s="14" t="s">
        <v>1199</v>
      </c>
    </row>
    <row r="48" spans="1:9" hidden="1" x14ac:dyDescent="0.35">
      <c r="A48" s="16" t="s">
        <v>10</v>
      </c>
      <c r="B48" s="14" t="s">
        <v>1200</v>
      </c>
      <c r="C48" s="14" t="s">
        <v>1201</v>
      </c>
      <c r="G48" s="14" t="s">
        <v>1132</v>
      </c>
      <c r="H48" s="14" t="s">
        <v>14</v>
      </c>
      <c r="I48" s="14" t="s">
        <v>1202</v>
      </c>
    </row>
    <row r="49" spans="1:14" ht="29" hidden="1" x14ac:dyDescent="0.35">
      <c r="A49" s="16" t="s">
        <v>10</v>
      </c>
      <c r="B49" s="14" t="s">
        <v>229</v>
      </c>
      <c r="C49" s="14" t="s">
        <v>1203</v>
      </c>
      <c r="G49" s="14" t="s">
        <v>1132</v>
      </c>
      <c r="H49" s="14" t="s">
        <v>14</v>
      </c>
      <c r="I49" s="14" t="s">
        <v>232</v>
      </c>
    </row>
    <row r="50" spans="1:14" ht="29" hidden="1" x14ac:dyDescent="0.35">
      <c r="A50" s="16" t="s">
        <v>10</v>
      </c>
      <c r="B50" s="14" t="s">
        <v>1204</v>
      </c>
      <c r="C50" s="14" t="s">
        <v>1205</v>
      </c>
      <c r="G50" s="14" t="s">
        <v>1132</v>
      </c>
      <c r="H50" s="14" t="s">
        <v>14</v>
      </c>
      <c r="I50" s="14" t="s">
        <v>1206</v>
      </c>
    </row>
    <row r="51" spans="1:14" ht="58" hidden="1" x14ac:dyDescent="0.35">
      <c r="A51" s="16" t="s">
        <v>10</v>
      </c>
      <c r="B51" s="14" t="s">
        <v>255</v>
      </c>
      <c r="C51" s="14" t="s">
        <v>1207</v>
      </c>
      <c r="G51" s="14" t="s">
        <v>1132</v>
      </c>
      <c r="H51" s="14" t="s">
        <v>14</v>
      </c>
      <c r="I51" s="14" t="s">
        <v>1208</v>
      </c>
    </row>
    <row r="52" spans="1:14" ht="58" x14ac:dyDescent="0.35">
      <c r="A52" s="16" t="s">
        <v>10</v>
      </c>
      <c r="B52" s="14" t="s">
        <v>352</v>
      </c>
      <c r="C52" s="14" t="s">
        <v>1209</v>
      </c>
      <c r="D52" s="14">
        <v>1</v>
      </c>
      <c r="E52" s="14" t="s">
        <v>1826</v>
      </c>
      <c r="F52" s="14" t="s">
        <v>40</v>
      </c>
      <c r="G52" s="14" t="s">
        <v>1210</v>
      </c>
      <c r="H52" s="14" t="s">
        <v>20</v>
      </c>
      <c r="I52" s="14" t="s">
        <v>1211</v>
      </c>
      <c r="K52" s="19" t="s">
        <v>1126</v>
      </c>
      <c r="L52" s="4">
        <f>COUNTIF($G:$G, "new")</f>
        <v>150</v>
      </c>
      <c r="M52" s="25">
        <f>AVERAGEIF($G:$G, "new", $D:$D)</f>
        <v>0.53333333333333333</v>
      </c>
      <c r="N52" s="25">
        <f>COUNTIFS($G:$G, "new", $E:$E, "&lt;&gt;") / L52</f>
        <v>0.30666666666666664</v>
      </c>
    </row>
    <row r="53" spans="1:14" ht="58" x14ac:dyDescent="0.35">
      <c r="A53" s="16" t="s">
        <v>10</v>
      </c>
      <c r="B53" s="14" t="s">
        <v>1212</v>
      </c>
      <c r="C53" s="14" t="s">
        <v>1213</v>
      </c>
      <c r="D53" s="14">
        <v>0</v>
      </c>
      <c r="F53" s="14" t="s">
        <v>84</v>
      </c>
      <c r="G53" s="14" t="s">
        <v>1210</v>
      </c>
      <c r="H53" s="14" t="s">
        <v>20</v>
      </c>
      <c r="I53" s="14" t="s">
        <v>1214</v>
      </c>
      <c r="K53" s="28" t="s">
        <v>1127</v>
      </c>
      <c r="L53" s="25">
        <f>COUNTIFS($A:$A, "ast", $G:$G, "new")</f>
        <v>50</v>
      </c>
      <c r="M53">
        <f>AVERAGEIFS($D:$D, $A:$A, "ast", $G:$G, "new")</f>
        <v>0.56000000000000005</v>
      </c>
      <c r="N53" s="25">
        <f>COUNTIFS($A:$A, "ast", $G:$G, "new", $E:$E, "&lt;&gt;") / L53</f>
        <v>0.34</v>
      </c>
    </row>
    <row r="54" spans="1:14" ht="43.5" x14ac:dyDescent="0.35">
      <c r="A54" s="16" t="s">
        <v>10</v>
      </c>
      <c r="B54" s="14" t="s">
        <v>1215</v>
      </c>
      <c r="C54" s="14" t="s">
        <v>1216</v>
      </c>
      <c r="D54" s="14">
        <v>1</v>
      </c>
      <c r="G54" s="14" t="s">
        <v>1210</v>
      </c>
      <c r="H54" s="14" t="s">
        <v>20</v>
      </c>
      <c r="I54" s="14" t="s">
        <v>1217</v>
      </c>
      <c r="K54" s="29" t="s">
        <v>1128</v>
      </c>
      <c r="L54" s="25">
        <f>COUNTIFS($A:$A, "eu", $G:$G, "new")</f>
        <v>50</v>
      </c>
      <c r="M54" s="25">
        <f>AVERAGEIFS($D:$D, $A:$A, "eu", $G:$G, "new")</f>
        <v>0.4</v>
      </c>
      <c r="N54" s="25">
        <f>COUNTIFS($A:$A, "eu", $G:$G, "new", $E:$E, "&lt;&gt;") / L54</f>
        <v>0.24</v>
      </c>
    </row>
    <row r="55" spans="1:14" ht="29" x14ac:dyDescent="0.35">
      <c r="A55" s="16" t="s">
        <v>10</v>
      </c>
      <c r="B55" s="14" t="s">
        <v>16</v>
      </c>
      <c r="C55" s="14" t="s">
        <v>1218</v>
      </c>
      <c r="D55" s="14">
        <v>1</v>
      </c>
      <c r="G55" s="14" t="s">
        <v>1210</v>
      </c>
      <c r="H55" s="14" t="s">
        <v>20</v>
      </c>
      <c r="I55" s="14" t="s">
        <v>21</v>
      </c>
      <c r="K55" s="30" t="s">
        <v>1129</v>
      </c>
      <c r="L55">
        <f>COUNTIFS($A:$A, "el", $G:$G, "new")</f>
        <v>50</v>
      </c>
      <c r="M55" s="31">
        <f>AVERAGEIFS($D:$D, $A:$A, "el", $G:$G, "new")</f>
        <v>0.64</v>
      </c>
      <c r="N55" s="31">
        <f>COUNTIFS($A:$A, "el", $G:$G, "new", $E:$E, "&lt;&gt;") / L55</f>
        <v>0.34</v>
      </c>
    </row>
    <row r="56" spans="1:14" ht="29" x14ac:dyDescent="0.35">
      <c r="A56" s="16" t="s">
        <v>10</v>
      </c>
      <c r="B56" s="14" t="s">
        <v>269</v>
      </c>
      <c r="C56" s="14" t="s">
        <v>270</v>
      </c>
      <c r="D56" s="14">
        <v>1</v>
      </c>
      <c r="G56" s="14" t="s">
        <v>1210</v>
      </c>
      <c r="H56" s="14" t="s">
        <v>49</v>
      </c>
      <c r="I56" s="14" t="s">
        <v>271</v>
      </c>
    </row>
    <row r="57" spans="1:14" ht="58" x14ac:dyDescent="0.35">
      <c r="A57" s="16" t="s">
        <v>10</v>
      </c>
      <c r="B57" s="14" t="s">
        <v>215</v>
      </c>
      <c r="C57" s="14" t="s">
        <v>216</v>
      </c>
      <c r="D57" s="14">
        <v>0</v>
      </c>
      <c r="F57" s="14" t="s">
        <v>1802</v>
      </c>
      <c r="G57" s="14" t="s">
        <v>1210</v>
      </c>
      <c r="H57" s="14" t="s">
        <v>20</v>
      </c>
      <c r="I57" s="14" t="s">
        <v>217</v>
      </c>
      <c r="N57" s="25" t="s">
        <v>1869</v>
      </c>
    </row>
    <row r="58" spans="1:14" ht="29" x14ac:dyDescent="0.35">
      <c r="A58" s="16" t="s">
        <v>10</v>
      </c>
      <c r="B58" s="14" t="s">
        <v>1219</v>
      </c>
      <c r="C58" s="14" t="s">
        <v>1220</v>
      </c>
      <c r="D58" s="14">
        <v>1</v>
      </c>
      <c r="F58" s="14" t="s">
        <v>40</v>
      </c>
      <c r="G58" s="14" t="s">
        <v>1210</v>
      </c>
      <c r="H58" s="14" t="s">
        <v>36</v>
      </c>
      <c r="I58" s="14" t="s">
        <v>1221</v>
      </c>
    </row>
    <row r="59" spans="1:14" ht="87" x14ac:dyDescent="0.35">
      <c r="A59" s="16" t="s">
        <v>10</v>
      </c>
      <c r="B59" s="14" t="s">
        <v>1222</v>
      </c>
      <c r="C59" s="14" t="s">
        <v>1223</v>
      </c>
      <c r="D59" s="14">
        <v>1</v>
      </c>
      <c r="E59" s="14" t="s">
        <v>352</v>
      </c>
      <c r="F59" s="14" t="s">
        <v>274</v>
      </c>
      <c r="G59" s="14" t="s">
        <v>1210</v>
      </c>
      <c r="H59" s="14" t="s">
        <v>20</v>
      </c>
      <c r="I59" s="14" t="s">
        <v>1224</v>
      </c>
    </row>
    <row r="60" spans="1:14" ht="87" x14ac:dyDescent="0.35">
      <c r="A60" s="16" t="s">
        <v>10</v>
      </c>
      <c r="B60" s="14" t="s">
        <v>233</v>
      </c>
      <c r="C60" s="14" t="s">
        <v>1225</v>
      </c>
      <c r="D60" s="14">
        <v>1</v>
      </c>
      <c r="F60" s="14" t="s">
        <v>29</v>
      </c>
      <c r="G60" s="14" t="s">
        <v>1210</v>
      </c>
      <c r="H60" s="14" t="s">
        <v>36</v>
      </c>
      <c r="I60" s="14" t="s">
        <v>1226</v>
      </c>
    </row>
    <row r="61" spans="1:14" ht="29" x14ac:dyDescent="0.35">
      <c r="A61" s="16" t="s">
        <v>10</v>
      </c>
      <c r="B61" s="14" t="s">
        <v>191</v>
      </c>
      <c r="C61" s="14" t="s">
        <v>1227</v>
      </c>
      <c r="D61" s="14">
        <v>0</v>
      </c>
      <c r="F61" s="14" t="s">
        <v>84</v>
      </c>
      <c r="G61" s="14" t="s">
        <v>1210</v>
      </c>
      <c r="H61" s="14" t="s">
        <v>20</v>
      </c>
      <c r="I61" s="14" t="s">
        <v>193</v>
      </c>
    </row>
    <row r="62" spans="1:14" ht="58" x14ac:dyDescent="0.35">
      <c r="A62" s="16" t="s">
        <v>10</v>
      </c>
      <c r="B62" s="14" t="s">
        <v>185</v>
      </c>
      <c r="C62" s="14" t="s">
        <v>186</v>
      </c>
      <c r="D62" s="14">
        <v>1</v>
      </c>
      <c r="F62" s="14" t="s">
        <v>40</v>
      </c>
      <c r="G62" s="14" t="s">
        <v>1210</v>
      </c>
      <c r="H62" s="14" t="s">
        <v>49</v>
      </c>
      <c r="I62" s="14" t="s">
        <v>187</v>
      </c>
    </row>
    <row r="63" spans="1:14" ht="29" x14ac:dyDescent="0.35">
      <c r="A63" s="16" t="s">
        <v>10</v>
      </c>
      <c r="B63" s="14" t="s">
        <v>218</v>
      </c>
      <c r="C63" s="14" t="s">
        <v>1228</v>
      </c>
      <c r="D63" s="14">
        <v>0</v>
      </c>
      <c r="F63" s="14" t="s">
        <v>77</v>
      </c>
      <c r="G63" s="14" t="s">
        <v>1210</v>
      </c>
      <c r="H63" s="14" t="s">
        <v>49</v>
      </c>
      <c r="I63" s="14" t="s">
        <v>220</v>
      </c>
    </row>
    <row r="64" spans="1:14" ht="87" x14ac:dyDescent="0.35">
      <c r="A64" s="16" t="s">
        <v>10</v>
      </c>
      <c r="B64" s="14" t="s">
        <v>1229</v>
      </c>
      <c r="C64" s="14" t="s">
        <v>1230</v>
      </c>
      <c r="D64" s="14">
        <v>1</v>
      </c>
      <c r="F64" s="14" t="s">
        <v>1803</v>
      </c>
      <c r="G64" s="14" t="s">
        <v>1210</v>
      </c>
      <c r="H64" s="14" t="s">
        <v>1231</v>
      </c>
      <c r="I64" s="14" t="s">
        <v>1232</v>
      </c>
    </row>
    <row r="65" spans="1:9" ht="58" x14ac:dyDescent="0.35">
      <c r="A65" s="16" t="s">
        <v>10</v>
      </c>
      <c r="B65" s="14" t="s">
        <v>134</v>
      </c>
      <c r="C65" s="14" t="s">
        <v>1233</v>
      </c>
      <c r="D65" s="14">
        <v>1</v>
      </c>
      <c r="E65" s="14" t="s">
        <v>1804</v>
      </c>
      <c r="F65" s="14" t="s">
        <v>19</v>
      </c>
      <c r="G65" s="14" t="s">
        <v>1210</v>
      </c>
      <c r="H65" s="14" t="s">
        <v>49</v>
      </c>
      <c r="I65" s="14" t="s">
        <v>137</v>
      </c>
    </row>
    <row r="66" spans="1:9" ht="29" x14ac:dyDescent="0.35">
      <c r="A66" s="16" t="s">
        <v>10</v>
      </c>
      <c r="B66" s="14" t="s">
        <v>322</v>
      </c>
      <c r="C66" s="14" t="s">
        <v>1234</v>
      </c>
      <c r="D66" s="14">
        <v>1</v>
      </c>
      <c r="F66" s="14" t="s">
        <v>40</v>
      </c>
      <c r="G66" s="14" t="s">
        <v>1210</v>
      </c>
      <c r="H66" s="14" t="s">
        <v>36</v>
      </c>
      <c r="I66" s="14" t="s">
        <v>1235</v>
      </c>
    </row>
    <row r="67" spans="1:9" ht="58" x14ac:dyDescent="0.35">
      <c r="A67" s="16" t="s">
        <v>10</v>
      </c>
      <c r="B67" s="14" t="s">
        <v>241</v>
      </c>
      <c r="C67" s="14" t="s">
        <v>1236</v>
      </c>
      <c r="D67" s="14">
        <v>0</v>
      </c>
      <c r="F67" s="14" t="s">
        <v>84</v>
      </c>
      <c r="G67" s="14" t="s">
        <v>1210</v>
      </c>
      <c r="H67" s="14" t="s">
        <v>20</v>
      </c>
      <c r="I67" s="14" t="s">
        <v>1237</v>
      </c>
    </row>
    <row r="68" spans="1:9" ht="87" x14ac:dyDescent="0.35">
      <c r="A68" s="16" t="s">
        <v>10</v>
      </c>
      <c r="B68" s="14" t="s">
        <v>249</v>
      </c>
      <c r="C68" s="14" t="s">
        <v>1238</v>
      </c>
      <c r="D68" s="14">
        <v>1</v>
      </c>
      <c r="E68" s="14" t="s">
        <v>1805</v>
      </c>
      <c r="F68" s="14" t="s">
        <v>19</v>
      </c>
      <c r="G68" s="14" t="s">
        <v>1210</v>
      </c>
      <c r="H68" s="14" t="s">
        <v>49</v>
      </c>
      <c r="I68" s="14" t="s">
        <v>1239</v>
      </c>
    </row>
    <row r="69" spans="1:9" ht="29" x14ac:dyDescent="0.35">
      <c r="A69" s="16" t="s">
        <v>10</v>
      </c>
      <c r="B69" s="14" t="s">
        <v>267</v>
      </c>
      <c r="C69" s="14" t="s">
        <v>1240</v>
      </c>
      <c r="D69" s="14">
        <v>1</v>
      </c>
      <c r="F69" s="14" t="s">
        <v>40</v>
      </c>
      <c r="G69" s="14" t="s">
        <v>1210</v>
      </c>
      <c r="H69" s="14" t="s">
        <v>36</v>
      </c>
      <c r="I69" s="14" t="s">
        <v>1241</v>
      </c>
    </row>
    <row r="70" spans="1:9" x14ac:dyDescent="0.35">
      <c r="A70" s="16" t="s">
        <v>10</v>
      </c>
      <c r="B70" s="14" t="s">
        <v>1242</v>
      </c>
      <c r="C70" s="14" t="s">
        <v>1243</v>
      </c>
      <c r="D70" s="14">
        <v>0</v>
      </c>
      <c r="F70" s="14" t="s">
        <v>19</v>
      </c>
      <c r="G70" s="14" t="s">
        <v>1210</v>
      </c>
      <c r="H70" s="14" t="s">
        <v>49</v>
      </c>
      <c r="I70" s="14" t="s">
        <v>1244</v>
      </c>
    </row>
    <row r="71" spans="1:9" ht="29" x14ac:dyDescent="0.35">
      <c r="A71" s="16" t="s">
        <v>10</v>
      </c>
      <c r="B71" s="14" t="s">
        <v>1245</v>
      </c>
      <c r="C71" s="14" t="s">
        <v>1246</v>
      </c>
      <c r="D71" s="14">
        <v>0</v>
      </c>
      <c r="F71" s="14" t="s">
        <v>1806</v>
      </c>
      <c r="G71" s="14" t="s">
        <v>1210</v>
      </c>
      <c r="H71" s="14" t="s">
        <v>20</v>
      </c>
      <c r="I71" s="14" t="s">
        <v>1247</v>
      </c>
    </row>
    <row r="72" spans="1:9" ht="58" x14ac:dyDescent="0.35">
      <c r="A72" s="16" t="s">
        <v>10</v>
      </c>
      <c r="B72" s="14" t="s">
        <v>59</v>
      </c>
      <c r="C72" s="14" t="s">
        <v>1248</v>
      </c>
      <c r="D72" s="14">
        <v>1</v>
      </c>
      <c r="E72" s="14" t="s">
        <v>1807</v>
      </c>
      <c r="F72" s="14" t="s">
        <v>40</v>
      </c>
      <c r="G72" s="14" t="s">
        <v>1210</v>
      </c>
      <c r="H72" s="14" t="s">
        <v>49</v>
      </c>
      <c r="I72" s="14" t="s">
        <v>1249</v>
      </c>
    </row>
    <row r="73" spans="1:9" ht="72.5" x14ac:dyDescent="0.35">
      <c r="A73" s="16" t="s">
        <v>10</v>
      </c>
      <c r="B73" s="14" t="s">
        <v>253</v>
      </c>
      <c r="C73" s="14" t="s">
        <v>1250</v>
      </c>
      <c r="D73" s="14">
        <v>1</v>
      </c>
      <c r="E73" s="14" t="s">
        <v>1808</v>
      </c>
      <c r="F73" s="14" t="s">
        <v>19</v>
      </c>
      <c r="G73" s="14" t="s">
        <v>1210</v>
      </c>
      <c r="H73" s="14" t="s">
        <v>36</v>
      </c>
      <c r="I73" s="14" t="s">
        <v>137</v>
      </c>
    </row>
    <row r="74" spans="1:9" ht="72.5" x14ac:dyDescent="0.35">
      <c r="A74" s="16" t="s">
        <v>10</v>
      </c>
      <c r="B74" s="14" t="s">
        <v>332</v>
      </c>
      <c r="C74" s="14" t="s">
        <v>1251</v>
      </c>
      <c r="D74" s="14">
        <v>1</v>
      </c>
      <c r="E74" s="14" t="s">
        <v>1809</v>
      </c>
      <c r="F74" s="14" t="s">
        <v>1810</v>
      </c>
      <c r="G74" s="14" t="s">
        <v>1210</v>
      </c>
      <c r="H74" s="14" t="s">
        <v>36</v>
      </c>
      <c r="I74" s="14" t="s">
        <v>335</v>
      </c>
    </row>
    <row r="75" spans="1:9" ht="101.5" x14ac:dyDescent="0.35">
      <c r="A75" s="16" t="s">
        <v>10</v>
      </c>
      <c r="B75" s="14" t="s">
        <v>150</v>
      </c>
      <c r="C75" s="14" t="s">
        <v>151</v>
      </c>
      <c r="D75" s="14">
        <v>0</v>
      </c>
      <c r="F75" s="14" t="s">
        <v>1811</v>
      </c>
      <c r="G75" s="14" t="s">
        <v>1210</v>
      </c>
      <c r="H75" s="14" t="s">
        <v>36</v>
      </c>
      <c r="I75" s="14" t="s">
        <v>152</v>
      </c>
    </row>
    <row r="76" spans="1:9" ht="43.5" x14ac:dyDescent="0.35">
      <c r="A76" s="16" t="s">
        <v>10</v>
      </c>
      <c r="B76" s="14" t="s">
        <v>346</v>
      </c>
      <c r="C76" s="14" t="s">
        <v>1252</v>
      </c>
      <c r="D76" s="14">
        <v>1</v>
      </c>
      <c r="E76" s="14" t="s">
        <v>1812</v>
      </c>
      <c r="F76" s="14" t="s">
        <v>1813</v>
      </c>
      <c r="G76" s="14" t="s">
        <v>1210</v>
      </c>
      <c r="H76" s="14" t="s">
        <v>49</v>
      </c>
      <c r="I76" s="14" t="s">
        <v>1253</v>
      </c>
    </row>
    <row r="77" spans="1:9" ht="43.5" x14ac:dyDescent="0.35">
      <c r="A77" s="16" t="s">
        <v>10</v>
      </c>
      <c r="B77" s="14" t="s">
        <v>33</v>
      </c>
      <c r="C77" s="14" t="s">
        <v>34</v>
      </c>
      <c r="D77" s="14">
        <v>1</v>
      </c>
      <c r="F77" s="14" t="s">
        <v>1810</v>
      </c>
      <c r="G77" s="14" t="s">
        <v>1210</v>
      </c>
      <c r="H77" s="14" t="s">
        <v>36</v>
      </c>
      <c r="I77" s="14" t="s">
        <v>37</v>
      </c>
    </row>
    <row r="78" spans="1:9" ht="101.5" x14ac:dyDescent="0.35">
      <c r="A78" s="16" t="s">
        <v>10</v>
      </c>
      <c r="B78" s="14" t="s">
        <v>142</v>
      </c>
      <c r="C78" s="14" t="s">
        <v>1254</v>
      </c>
      <c r="D78" s="14">
        <v>1</v>
      </c>
      <c r="E78" s="14" t="s">
        <v>1814</v>
      </c>
      <c r="F78" s="14" t="s">
        <v>1815</v>
      </c>
      <c r="G78" s="14" t="s">
        <v>1210</v>
      </c>
      <c r="H78" s="14" t="s">
        <v>49</v>
      </c>
      <c r="I78" s="14" t="s">
        <v>145</v>
      </c>
    </row>
    <row r="79" spans="1:9" ht="29" x14ac:dyDescent="0.35">
      <c r="A79" s="16" t="s">
        <v>10</v>
      </c>
      <c r="B79" s="14" t="s">
        <v>1098</v>
      </c>
      <c r="C79" s="14" t="s">
        <v>1255</v>
      </c>
      <c r="D79" s="14">
        <v>0</v>
      </c>
      <c r="F79" s="14" t="s">
        <v>77</v>
      </c>
      <c r="G79" s="14" t="s">
        <v>1210</v>
      </c>
      <c r="H79" s="14" t="s">
        <v>49</v>
      </c>
      <c r="I79" s="14" t="s">
        <v>1256</v>
      </c>
    </row>
    <row r="80" spans="1:9" ht="43.5" x14ac:dyDescent="0.35">
      <c r="A80" s="16" t="s">
        <v>10</v>
      </c>
      <c r="B80" s="14" t="s">
        <v>301</v>
      </c>
      <c r="C80" s="14" t="s">
        <v>1257</v>
      </c>
      <c r="D80" s="14">
        <v>1</v>
      </c>
      <c r="E80" s="14" t="s">
        <v>1816</v>
      </c>
      <c r="F80" s="14" t="s">
        <v>19</v>
      </c>
      <c r="G80" s="14" t="s">
        <v>1210</v>
      </c>
      <c r="H80" s="14" t="s">
        <v>49</v>
      </c>
      <c r="I80" s="14" t="s">
        <v>304</v>
      </c>
    </row>
    <row r="81" spans="1:9" ht="29" x14ac:dyDescent="0.35">
      <c r="A81" s="16" t="s">
        <v>10</v>
      </c>
      <c r="B81" s="14" t="s">
        <v>212</v>
      </c>
      <c r="C81" s="14" t="s">
        <v>1258</v>
      </c>
      <c r="D81" s="14">
        <v>0</v>
      </c>
      <c r="F81" s="14" t="s">
        <v>84</v>
      </c>
      <c r="G81" s="14" t="s">
        <v>1210</v>
      </c>
      <c r="H81" s="14" t="s">
        <v>20</v>
      </c>
      <c r="I81" s="14" t="s">
        <v>214</v>
      </c>
    </row>
    <row r="82" spans="1:9" ht="87" x14ac:dyDescent="0.35">
      <c r="A82" s="16" t="s">
        <v>10</v>
      </c>
      <c r="B82" s="14" t="s">
        <v>502</v>
      </c>
      <c r="C82" s="14" t="s">
        <v>1259</v>
      </c>
      <c r="D82" s="14">
        <v>1</v>
      </c>
      <c r="E82" s="14" t="s">
        <v>1817</v>
      </c>
      <c r="F82" s="14" t="s">
        <v>40</v>
      </c>
      <c r="G82" s="14" t="s">
        <v>1210</v>
      </c>
      <c r="H82" s="14" t="s">
        <v>49</v>
      </c>
      <c r="I82" s="14" t="s">
        <v>1260</v>
      </c>
    </row>
    <row r="83" spans="1:9" ht="72.5" x14ac:dyDescent="0.35">
      <c r="A83" s="16" t="s">
        <v>10</v>
      </c>
      <c r="B83" s="14" t="s">
        <v>138</v>
      </c>
      <c r="C83" s="14" t="s">
        <v>139</v>
      </c>
      <c r="D83" s="14">
        <v>0</v>
      </c>
      <c r="F83" s="14" t="s">
        <v>140</v>
      </c>
      <c r="G83" s="14" t="s">
        <v>1210</v>
      </c>
      <c r="H83" s="14" t="s">
        <v>20</v>
      </c>
      <c r="I83" s="14" t="s">
        <v>141</v>
      </c>
    </row>
    <row r="84" spans="1:9" ht="72.5" x14ac:dyDescent="0.35">
      <c r="A84" s="16" t="s">
        <v>10</v>
      </c>
      <c r="B84" s="14" t="s">
        <v>336</v>
      </c>
      <c r="C84" s="14" t="s">
        <v>337</v>
      </c>
      <c r="D84" s="14">
        <v>1</v>
      </c>
      <c r="E84" s="14" t="s">
        <v>1818</v>
      </c>
      <c r="F84" s="14" t="s">
        <v>1819</v>
      </c>
      <c r="G84" s="14" t="s">
        <v>1210</v>
      </c>
      <c r="H84" s="14" t="s">
        <v>49</v>
      </c>
      <c r="I84" s="14" t="s">
        <v>338</v>
      </c>
    </row>
    <row r="85" spans="1:9" ht="29" x14ac:dyDescent="0.35">
      <c r="A85" s="16" t="s">
        <v>10</v>
      </c>
      <c r="B85" s="14" t="s">
        <v>159</v>
      </c>
      <c r="C85" s="14" t="s">
        <v>1261</v>
      </c>
      <c r="D85" s="14">
        <v>1</v>
      </c>
      <c r="F85" s="14" t="s">
        <v>40</v>
      </c>
      <c r="G85" s="14" t="s">
        <v>1210</v>
      </c>
      <c r="H85" s="14" t="s">
        <v>36</v>
      </c>
      <c r="I85" s="14" t="s">
        <v>1262</v>
      </c>
    </row>
    <row r="86" spans="1:9" ht="29" x14ac:dyDescent="0.35">
      <c r="A86" s="16" t="s">
        <v>10</v>
      </c>
      <c r="B86" s="14" t="s">
        <v>1263</v>
      </c>
      <c r="C86" s="14" t="s">
        <v>1264</v>
      </c>
      <c r="D86" s="14">
        <v>0</v>
      </c>
      <c r="E86" s="14" t="s">
        <v>1820</v>
      </c>
      <c r="F86" s="14" t="s">
        <v>1810</v>
      </c>
      <c r="G86" s="14" t="s">
        <v>1210</v>
      </c>
      <c r="H86" s="14" t="s">
        <v>49</v>
      </c>
      <c r="I86" s="14" t="s">
        <v>1265</v>
      </c>
    </row>
    <row r="87" spans="1:9" ht="43.5" x14ac:dyDescent="0.35">
      <c r="A87" s="16" t="s">
        <v>10</v>
      </c>
      <c r="B87" s="14" t="s">
        <v>1266</v>
      </c>
      <c r="C87" s="14" t="s">
        <v>1267</v>
      </c>
      <c r="D87" s="14">
        <v>0</v>
      </c>
      <c r="F87" s="14" t="s">
        <v>140</v>
      </c>
      <c r="G87" s="14" t="s">
        <v>1210</v>
      </c>
      <c r="H87" s="14" t="s">
        <v>36</v>
      </c>
      <c r="I87" s="14" t="s">
        <v>1268</v>
      </c>
    </row>
    <row r="88" spans="1:9" ht="29" x14ac:dyDescent="0.35">
      <c r="A88" s="16" t="s">
        <v>10</v>
      </c>
      <c r="B88" s="14" t="s">
        <v>75</v>
      </c>
      <c r="C88" s="14" t="s">
        <v>76</v>
      </c>
      <c r="D88" s="14">
        <v>0</v>
      </c>
      <c r="F88" s="14" t="s">
        <v>77</v>
      </c>
      <c r="G88" s="14" t="s">
        <v>1210</v>
      </c>
      <c r="H88" s="14" t="s">
        <v>20</v>
      </c>
      <c r="I88" s="14" t="s">
        <v>78</v>
      </c>
    </row>
    <row r="89" spans="1:9" ht="58" x14ac:dyDescent="0.35">
      <c r="A89" s="16" t="s">
        <v>10</v>
      </c>
      <c r="B89" s="14" t="s">
        <v>342</v>
      </c>
      <c r="C89" s="14" t="s">
        <v>343</v>
      </c>
      <c r="D89" s="14">
        <v>1</v>
      </c>
      <c r="E89" s="14" t="s">
        <v>1821</v>
      </c>
      <c r="F89" s="14" t="s">
        <v>40</v>
      </c>
      <c r="G89" s="14" t="s">
        <v>1210</v>
      </c>
      <c r="H89" s="14" t="s">
        <v>49</v>
      </c>
      <c r="I89" s="14" t="s">
        <v>345</v>
      </c>
    </row>
    <row r="90" spans="1:9" ht="29" x14ac:dyDescent="0.35">
      <c r="A90" s="16" t="s">
        <v>10</v>
      </c>
      <c r="B90" s="14" t="s">
        <v>297</v>
      </c>
      <c r="C90" s="14" t="s">
        <v>1269</v>
      </c>
      <c r="D90" s="14">
        <v>1</v>
      </c>
      <c r="F90" s="14" t="s">
        <v>29</v>
      </c>
      <c r="G90" s="14" t="s">
        <v>1210</v>
      </c>
      <c r="H90" s="14" t="s">
        <v>49</v>
      </c>
      <c r="I90" s="14" t="s">
        <v>236</v>
      </c>
    </row>
    <row r="91" spans="1:9" ht="72.5" x14ac:dyDescent="0.35">
      <c r="A91" s="16" t="s">
        <v>10</v>
      </c>
      <c r="B91" s="14" t="s">
        <v>1270</v>
      </c>
      <c r="C91" s="14" t="s">
        <v>1271</v>
      </c>
      <c r="D91" s="14">
        <v>1</v>
      </c>
      <c r="E91" s="14" t="s">
        <v>1822</v>
      </c>
      <c r="F91" s="14" t="s">
        <v>1823</v>
      </c>
      <c r="G91" s="14" t="s">
        <v>1210</v>
      </c>
      <c r="H91" s="14" t="s">
        <v>1272</v>
      </c>
      <c r="I91" s="14" t="s">
        <v>1273</v>
      </c>
    </row>
    <row r="92" spans="1:9" ht="29" x14ac:dyDescent="0.35">
      <c r="A92" s="16" t="s">
        <v>10</v>
      </c>
      <c r="B92" s="14" t="s">
        <v>1274</v>
      </c>
      <c r="C92" s="14" t="s">
        <v>1275</v>
      </c>
      <c r="D92" s="14">
        <v>0</v>
      </c>
      <c r="F92" s="14" t="s">
        <v>19</v>
      </c>
      <c r="G92" s="14" t="s">
        <v>1210</v>
      </c>
      <c r="H92" s="14" t="s">
        <v>20</v>
      </c>
      <c r="I92" s="14" t="s">
        <v>1276</v>
      </c>
    </row>
    <row r="93" spans="1:9" ht="29" x14ac:dyDescent="0.35">
      <c r="A93" s="16" t="s">
        <v>10</v>
      </c>
      <c r="B93" s="14" t="s">
        <v>367</v>
      </c>
      <c r="C93" s="14" t="s">
        <v>368</v>
      </c>
      <c r="D93" s="14">
        <v>0</v>
      </c>
      <c r="F93" s="14" t="s">
        <v>84</v>
      </c>
      <c r="G93" s="14" t="s">
        <v>1210</v>
      </c>
      <c r="H93" s="14" t="s">
        <v>20</v>
      </c>
      <c r="I93" s="14" t="s">
        <v>369</v>
      </c>
    </row>
    <row r="94" spans="1:9" ht="58" x14ac:dyDescent="0.35">
      <c r="A94" s="16" t="s">
        <v>10</v>
      </c>
      <c r="B94" s="14" t="s">
        <v>361</v>
      </c>
      <c r="C94" s="14" t="s">
        <v>362</v>
      </c>
      <c r="D94" s="14">
        <v>0</v>
      </c>
      <c r="E94" s="14" t="s">
        <v>1824</v>
      </c>
      <c r="F94" s="14" t="s">
        <v>1811</v>
      </c>
      <c r="G94" s="14" t="s">
        <v>1210</v>
      </c>
      <c r="H94" s="14" t="s">
        <v>36</v>
      </c>
      <c r="I94" s="14" t="s">
        <v>363</v>
      </c>
    </row>
    <row r="95" spans="1:9" ht="101.5" x14ac:dyDescent="0.35">
      <c r="A95" s="16" t="s">
        <v>10</v>
      </c>
      <c r="B95" s="14" t="s">
        <v>1277</v>
      </c>
      <c r="C95" s="14" t="s">
        <v>1278</v>
      </c>
      <c r="D95" s="14">
        <v>0</v>
      </c>
      <c r="F95" s="14" t="s">
        <v>140</v>
      </c>
      <c r="G95" s="14" t="s">
        <v>1210</v>
      </c>
      <c r="H95" s="14" t="s">
        <v>36</v>
      </c>
      <c r="I95" s="14" t="s">
        <v>1279</v>
      </c>
    </row>
    <row r="96" spans="1:9" ht="116" x14ac:dyDescent="0.35">
      <c r="A96" s="16" t="s">
        <v>10</v>
      </c>
      <c r="B96" s="14" t="s">
        <v>82</v>
      </c>
      <c r="C96" s="14" t="s">
        <v>83</v>
      </c>
      <c r="D96" s="14">
        <v>0</v>
      </c>
      <c r="F96" s="14" t="s">
        <v>84</v>
      </c>
      <c r="G96" s="14" t="s">
        <v>1210</v>
      </c>
      <c r="H96" s="14" t="s">
        <v>49</v>
      </c>
      <c r="I96" s="14" t="s">
        <v>85</v>
      </c>
    </row>
    <row r="97" spans="1:9" ht="29" x14ac:dyDescent="0.35">
      <c r="A97" s="16" t="s">
        <v>10</v>
      </c>
      <c r="B97" s="14" t="s">
        <v>261</v>
      </c>
      <c r="C97" s="14" t="s">
        <v>262</v>
      </c>
      <c r="D97" s="14">
        <v>0</v>
      </c>
      <c r="F97" s="14" t="s">
        <v>84</v>
      </c>
      <c r="G97" s="14" t="s">
        <v>1210</v>
      </c>
      <c r="H97" s="14" t="s">
        <v>20</v>
      </c>
      <c r="I97" s="14" t="s">
        <v>1280</v>
      </c>
    </row>
    <row r="98" spans="1:9" ht="72.5" x14ac:dyDescent="0.35">
      <c r="A98" s="16" t="s">
        <v>10</v>
      </c>
      <c r="B98" s="14" t="s">
        <v>47</v>
      </c>
      <c r="C98" s="14" t="s">
        <v>48</v>
      </c>
      <c r="D98" s="14">
        <v>0</v>
      </c>
      <c r="F98" s="14" t="s">
        <v>19</v>
      </c>
      <c r="G98" s="14" t="s">
        <v>1210</v>
      </c>
      <c r="H98" s="14" t="s">
        <v>49</v>
      </c>
      <c r="I98" s="14" t="s">
        <v>50</v>
      </c>
    </row>
    <row r="99" spans="1:9" ht="29" x14ac:dyDescent="0.35">
      <c r="A99" s="16" t="s">
        <v>10</v>
      </c>
      <c r="B99" s="14" t="s">
        <v>339</v>
      </c>
      <c r="C99" s="14" t="s">
        <v>1281</v>
      </c>
      <c r="D99" s="14">
        <v>0</v>
      </c>
      <c r="F99" s="14" t="s">
        <v>140</v>
      </c>
      <c r="G99" s="14" t="s">
        <v>1210</v>
      </c>
      <c r="H99" s="14" t="s">
        <v>36</v>
      </c>
      <c r="I99" s="14" t="s">
        <v>1282</v>
      </c>
    </row>
    <row r="100" spans="1:9" ht="43.5" x14ac:dyDescent="0.35">
      <c r="A100" s="16" t="s">
        <v>10</v>
      </c>
      <c r="B100" s="14" t="s">
        <v>72</v>
      </c>
      <c r="C100" s="14" t="s">
        <v>1283</v>
      </c>
      <c r="D100" s="14">
        <v>1</v>
      </c>
      <c r="E100" s="14" t="s">
        <v>1825</v>
      </c>
      <c r="F100" s="14" t="s">
        <v>40</v>
      </c>
      <c r="G100" s="14" t="s">
        <v>1210</v>
      </c>
      <c r="H100" s="14" t="s">
        <v>36</v>
      </c>
      <c r="I100" s="14" t="s">
        <v>1284</v>
      </c>
    </row>
    <row r="101" spans="1:9" ht="29" x14ac:dyDescent="0.35">
      <c r="A101" s="16" t="s">
        <v>10</v>
      </c>
      <c r="B101" s="14" t="s">
        <v>1285</v>
      </c>
      <c r="C101" s="14" t="s">
        <v>1286</v>
      </c>
      <c r="D101" s="14">
        <v>1</v>
      </c>
      <c r="F101" s="14" t="s">
        <v>40</v>
      </c>
      <c r="G101" s="14" t="s">
        <v>1210</v>
      </c>
      <c r="H101" s="14" t="s">
        <v>36</v>
      </c>
      <c r="I101" s="14" t="s">
        <v>1287</v>
      </c>
    </row>
    <row r="102" spans="1:9" hidden="1" x14ac:dyDescent="0.35">
      <c r="A102" s="17" t="s">
        <v>373</v>
      </c>
      <c r="B102" s="14" t="s">
        <v>1288</v>
      </c>
      <c r="C102" s="14" t="s">
        <v>1289</v>
      </c>
      <c r="G102" s="14" t="s">
        <v>1132</v>
      </c>
      <c r="H102" s="14" t="s">
        <v>14</v>
      </c>
      <c r="I102" s="14" t="s">
        <v>1290</v>
      </c>
    </row>
    <row r="103" spans="1:9" hidden="1" x14ac:dyDescent="0.35">
      <c r="A103" s="17" t="s">
        <v>373</v>
      </c>
      <c r="B103" s="14" t="s">
        <v>1291</v>
      </c>
      <c r="C103" s="14" t="s">
        <v>1292</v>
      </c>
      <c r="G103" s="14" t="s">
        <v>1132</v>
      </c>
      <c r="H103" s="14" t="s">
        <v>24</v>
      </c>
      <c r="I103" s="14" t="s">
        <v>1293</v>
      </c>
    </row>
    <row r="104" spans="1:9" ht="29" hidden="1" x14ac:dyDescent="0.35">
      <c r="A104" s="17" t="s">
        <v>373</v>
      </c>
      <c r="B104" s="14" t="s">
        <v>1294</v>
      </c>
      <c r="C104" s="14" t="s">
        <v>1295</v>
      </c>
      <c r="G104" s="14" t="s">
        <v>1132</v>
      </c>
      <c r="H104" s="14" t="s">
        <v>14</v>
      </c>
      <c r="I104" s="14" t="s">
        <v>1296</v>
      </c>
    </row>
    <row r="105" spans="1:9" ht="58" hidden="1" x14ac:dyDescent="0.35">
      <c r="A105" s="17" t="s">
        <v>373</v>
      </c>
      <c r="B105" s="14" t="s">
        <v>1297</v>
      </c>
      <c r="C105" s="14" t="s">
        <v>1298</v>
      </c>
      <c r="G105" s="14" t="s">
        <v>1132</v>
      </c>
      <c r="H105" s="14" t="s">
        <v>14</v>
      </c>
      <c r="I105" s="14" t="s">
        <v>1299</v>
      </c>
    </row>
    <row r="106" spans="1:9" ht="29" hidden="1" x14ac:dyDescent="0.35">
      <c r="A106" s="17" t="s">
        <v>373</v>
      </c>
      <c r="B106" s="14" t="s">
        <v>1300</v>
      </c>
      <c r="C106" s="14" t="s">
        <v>1301</v>
      </c>
      <c r="G106" s="14" t="s">
        <v>1132</v>
      </c>
      <c r="H106" s="14" t="s">
        <v>14</v>
      </c>
      <c r="I106" s="14" t="s">
        <v>1302</v>
      </c>
    </row>
    <row r="107" spans="1:9" ht="29" hidden="1" x14ac:dyDescent="0.35">
      <c r="A107" s="17" t="s">
        <v>373</v>
      </c>
      <c r="B107" s="14" t="s">
        <v>1303</v>
      </c>
      <c r="C107" s="14" t="s">
        <v>1304</v>
      </c>
      <c r="G107" s="14" t="s">
        <v>1132</v>
      </c>
      <c r="H107" s="14" t="s">
        <v>14</v>
      </c>
      <c r="I107" s="14" t="s">
        <v>1305</v>
      </c>
    </row>
    <row r="108" spans="1:9" ht="43.5" hidden="1" x14ac:dyDescent="0.35">
      <c r="A108" s="17" t="s">
        <v>373</v>
      </c>
      <c r="B108" s="14" t="s">
        <v>404</v>
      </c>
      <c r="C108" s="14" t="s">
        <v>1306</v>
      </c>
      <c r="G108" s="14" t="s">
        <v>1132</v>
      </c>
      <c r="H108" s="14" t="s">
        <v>24</v>
      </c>
      <c r="I108" s="14" t="s">
        <v>1307</v>
      </c>
    </row>
    <row r="109" spans="1:9" hidden="1" x14ac:dyDescent="0.35">
      <c r="A109" s="17" t="s">
        <v>373</v>
      </c>
      <c r="B109" s="14" t="s">
        <v>1308</v>
      </c>
      <c r="C109" s="14" t="s">
        <v>1309</v>
      </c>
      <c r="G109" s="14" t="s">
        <v>1132</v>
      </c>
      <c r="H109" s="14" t="s">
        <v>14</v>
      </c>
      <c r="I109" s="14" t="s">
        <v>1310</v>
      </c>
    </row>
    <row r="110" spans="1:9" ht="29" hidden="1" x14ac:dyDescent="0.35">
      <c r="A110" s="17" t="s">
        <v>373</v>
      </c>
      <c r="B110" s="14" t="s">
        <v>1311</v>
      </c>
      <c r="C110" s="14" t="s">
        <v>1312</v>
      </c>
      <c r="G110" s="14" t="s">
        <v>1132</v>
      </c>
      <c r="H110" s="14" t="s">
        <v>14</v>
      </c>
      <c r="I110" s="14" t="s">
        <v>1313</v>
      </c>
    </row>
    <row r="111" spans="1:9" ht="29" hidden="1" x14ac:dyDescent="0.35">
      <c r="A111" s="17" t="s">
        <v>373</v>
      </c>
      <c r="B111" s="14" t="s">
        <v>1314</v>
      </c>
      <c r="C111" s="14" t="s">
        <v>1315</v>
      </c>
      <c r="G111" s="14" t="s">
        <v>1132</v>
      </c>
      <c r="H111" s="14" t="s">
        <v>14</v>
      </c>
      <c r="I111" s="14" t="s">
        <v>1316</v>
      </c>
    </row>
    <row r="112" spans="1:9" hidden="1" x14ac:dyDescent="0.35">
      <c r="A112" s="17" t="s">
        <v>373</v>
      </c>
      <c r="B112" s="14" t="s">
        <v>537</v>
      </c>
      <c r="C112" s="14" t="s">
        <v>1317</v>
      </c>
      <c r="G112" s="14" t="s">
        <v>1132</v>
      </c>
      <c r="H112" s="14" t="s">
        <v>14</v>
      </c>
      <c r="I112" s="14" t="s">
        <v>1318</v>
      </c>
    </row>
    <row r="113" spans="1:9" ht="43.5" hidden="1" x14ac:dyDescent="0.35">
      <c r="A113" s="17" t="s">
        <v>373</v>
      </c>
      <c r="B113" s="14" t="s">
        <v>1319</v>
      </c>
      <c r="C113" s="14" t="s">
        <v>1320</v>
      </c>
      <c r="G113" s="14" t="s">
        <v>1132</v>
      </c>
      <c r="H113" s="14" t="s">
        <v>14</v>
      </c>
      <c r="I113" s="14" t="s">
        <v>1321</v>
      </c>
    </row>
    <row r="114" spans="1:9" ht="43.5" hidden="1" x14ac:dyDescent="0.35">
      <c r="A114" s="17" t="s">
        <v>373</v>
      </c>
      <c r="B114" s="14" t="s">
        <v>1322</v>
      </c>
      <c r="C114" s="14" t="s">
        <v>1323</v>
      </c>
      <c r="G114" s="14" t="s">
        <v>1132</v>
      </c>
      <c r="H114" s="14" t="s">
        <v>455</v>
      </c>
      <c r="I114" s="14" t="s">
        <v>1322</v>
      </c>
    </row>
    <row r="115" spans="1:9" ht="43.5" hidden="1" x14ac:dyDescent="0.35">
      <c r="A115" s="17" t="s">
        <v>373</v>
      </c>
      <c r="B115" s="14" t="s">
        <v>1324</v>
      </c>
      <c r="C115" s="14" t="s">
        <v>1325</v>
      </c>
      <c r="G115" s="14" t="s">
        <v>1132</v>
      </c>
      <c r="H115" s="14" t="s">
        <v>14</v>
      </c>
      <c r="I115" s="14" t="s">
        <v>1326</v>
      </c>
    </row>
    <row r="116" spans="1:9" ht="43.5" hidden="1" x14ac:dyDescent="0.35">
      <c r="A116" s="17" t="s">
        <v>373</v>
      </c>
      <c r="B116" s="14" t="s">
        <v>1327</v>
      </c>
      <c r="C116" s="14" t="s">
        <v>1328</v>
      </c>
      <c r="G116" s="14" t="s">
        <v>1132</v>
      </c>
      <c r="H116" s="14" t="s">
        <v>14</v>
      </c>
      <c r="I116" s="14" t="s">
        <v>1329</v>
      </c>
    </row>
    <row r="117" spans="1:9" hidden="1" x14ac:dyDescent="0.35">
      <c r="A117" s="17" t="s">
        <v>373</v>
      </c>
      <c r="B117" s="14" t="s">
        <v>1330</v>
      </c>
      <c r="C117" s="14" t="s">
        <v>1331</v>
      </c>
      <c r="G117" s="14" t="s">
        <v>1132</v>
      </c>
      <c r="H117" s="14" t="s">
        <v>14</v>
      </c>
      <c r="I117" s="14" t="s">
        <v>1332</v>
      </c>
    </row>
    <row r="118" spans="1:9" ht="29" hidden="1" x14ac:dyDescent="0.35">
      <c r="A118" s="17" t="s">
        <v>373</v>
      </c>
      <c r="B118" s="14" t="s">
        <v>1333</v>
      </c>
      <c r="C118" s="14" t="s">
        <v>1334</v>
      </c>
      <c r="G118" s="14" t="s">
        <v>1132</v>
      </c>
      <c r="H118" s="14" t="s">
        <v>14</v>
      </c>
      <c r="I118" s="14" t="s">
        <v>1335</v>
      </c>
    </row>
    <row r="119" spans="1:9" ht="43.5" hidden="1" x14ac:dyDescent="0.35">
      <c r="A119" s="17" t="s">
        <v>373</v>
      </c>
      <c r="B119" s="14" t="s">
        <v>729</v>
      </c>
      <c r="C119" s="14" t="s">
        <v>1336</v>
      </c>
      <c r="G119" s="14" t="s">
        <v>1132</v>
      </c>
      <c r="H119" s="14" t="s">
        <v>14</v>
      </c>
      <c r="I119" s="14" t="s">
        <v>1337</v>
      </c>
    </row>
    <row r="120" spans="1:9" hidden="1" x14ac:dyDescent="0.35">
      <c r="A120" s="17" t="s">
        <v>373</v>
      </c>
      <c r="B120" s="14" t="s">
        <v>1338</v>
      </c>
      <c r="C120" s="14" t="s">
        <v>1339</v>
      </c>
      <c r="G120" s="14" t="s">
        <v>1132</v>
      </c>
      <c r="H120" s="14" t="s">
        <v>14</v>
      </c>
      <c r="I120" s="14" t="s">
        <v>1340</v>
      </c>
    </row>
    <row r="121" spans="1:9" ht="58" hidden="1" x14ac:dyDescent="0.35">
      <c r="A121" s="17" t="s">
        <v>373</v>
      </c>
      <c r="B121" s="14" t="s">
        <v>1341</v>
      </c>
      <c r="C121" s="14" t="s">
        <v>1342</v>
      </c>
      <c r="G121" s="14" t="s">
        <v>1132</v>
      </c>
      <c r="H121" s="14" t="s">
        <v>14</v>
      </c>
      <c r="I121" s="14" t="s">
        <v>1343</v>
      </c>
    </row>
    <row r="122" spans="1:9" ht="29" hidden="1" x14ac:dyDescent="0.35">
      <c r="A122" s="17" t="s">
        <v>373</v>
      </c>
      <c r="B122" s="14" t="s">
        <v>1344</v>
      </c>
      <c r="C122" s="14" t="s">
        <v>1345</v>
      </c>
      <c r="G122" s="14" t="s">
        <v>1132</v>
      </c>
      <c r="H122" s="14" t="s">
        <v>14</v>
      </c>
      <c r="I122" s="14" t="s">
        <v>1346</v>
      </c>
    </row>
    <row r="123" spans="1:9" ht="29" hidden="1" x14ac:dyDescent="0.35">
      <c r="A123" s="17" t="s">
        <v>373</v>
      </c>
      <c r="B123" s="14" t="s">
        <v>1347</v>
      </c>
      <c r="C123" s="14" t="s">
        <v>1348</v>
      </c>
      <c r="G123" s="14" t="s">
        <v>1132</v>
      </c>
      <c r="H123" s="14" t="s">
        <v>14</v>
      </c>
      <c r="I123" s="14" t="s">
        <v>1349</v>
      </c>
    </row>
    <row r="124" spans="1:9" ht="43.5" hidden="1" x14ac:dyDescent="0.35">
      <c r="A124" s="17" t="s">
        <v>373</v>
      </c>
      <c r="B124" s="14" t="s">
        <v>1350</v>
      </c>
      <c r="C124" s="14" t="s">
        <v>1351</v>
      </c>
      <c r="G124" s="14" t="s">
        <v>1132</v>
      </c>
      <c r="H124" s="14" t="s">
        <v>14</v>
      </c>
      <c r="I124" s="14" t="s">
        <v>1352</v>
      </c>
    </row>
    <row r="125" spans="1:9" ht="43.5" hidden="1" x14ac:dyDescent="0.35">
      <c r="A125" s="17" t="s">
        <v>373</v>
      </c>
      <c r="B125" s="14" t="s">
        <v>1353</v>
      </c>
      <c r="C125" s="14" t="s">
        <v>1354</v>
      </c>
      <c r="G125" s="14" t="s">
        <v>1132</v>
      </c>
      <c r="H125" s="14" t="s">
        <v>14</v>
      </c>
      <c r="I125" s="14" t="s">
        <v>1355</v>
      </c>
    </row>
    <row r="126" spans="1:9" ht="43.5" hidden="1" x14ac:dyDescent="0.35">
      <c r="A126" s="17" t="s">
        <v>373</v>
      </c>
      <c r="B126" s="14" t="s">
        <v>1356</v>
      </c>
      <c r="C126" s="14" t="s">
        <v>1357</v>
      </c>
      <c r="G126" s="14" t="s">
        <v>1132</v>
      </c>
      <c r="H126" s="14" t="s">
        <v>14</v>
      </c>
      <c r="I126" s="14" t="s">
        <v>1358</v>
      </c>
    </row>
    <row r="127" spans="1:9" ht="29" hidden="1" x14ac:dyDescent="0.35">
      <c r="A127" s="17" t="s">
        <v>373</v>
      </c>
      <c r="B127" s="14" t="s">
        <v>1359</v>
      </c>
      <c r="C127" s="14" t="s">
        <v>1360</v>
      </c>
      <c r="G127" s="14" t="s">
        <v>1132</v>
      </c>
      <c r="H127" s="14" t="s">
        <v>14</v>
      </c>
      <c r="I127" s="14" t="s">
        <v>1361</v>
      </c>
    </row>
    <row r="128" spans="1:9" ht="29" hidden="1" x14ac:dyDescent="0.35">
      <c r="A128" s="17" t="s">
        <v>373</v>
      </c>
      <c r="B128" s="14" t="s">
        <v>1362</v>
      </c>
      <c r="C128" s="14" t="s">
        <v>1363</v>
      </c>
      <c r="G128" s="14" t="s">
        <v>1132</v>
      </c>
      <c r="H128" s="14" t="s">
        <v>14</v>
      </c>
      <c r="I128" s="14" t="s">
        <v>1364</v>
      </c>
    </row>
    <row r="129" spans="1:9" ht="43.5" hidden="1" x14ac:dyDescent="0.35">
      <c r="A129" s="17" t="s">
        <v>373</v>
      </c>
      <c r="B129" s="14" t="s">
        <v>1365</v>
      </c>
      <c r="C129" s="14" t="s">
        <v>1366</v>
      </c>
      <c r="G129" s="14" t="s">
        <v>1132</v>
      </c>
      <c r="H129" s="14" t="s">
        <v>14</v>
      </c>
      <c r="I129" s="14" t="s">
        <v>1367</v>
      </c>
    </row>
    <row r="130" spans="1:9" ht="43.5" hidden="1" x14ac:dyDescent="0.35">
      <c r="A130" s="17" t="s">
        <v>373</v>
      </c>
      <c r="B130" s="14" t="s">
        <v>492</v>
      </c>
      <c r="C130" s="14" t="s">
        <v>493</v>
      </c>
      <c r="G130" s="14" t="s">
        <v>1132</v>
      </c>
      <c r="H130" s="14" t="s">
        <v>14</v>
      </c>
      <c r="I130" s="14" t="s">
        <v>495</v>
      </c>
    </row>
    <row r="131" spans="1:9" ht="58" hidden="1" x14ac:dyDescent="0.35">
      <c r="A131" s="17" t="s">
        <v>373</v>
      </c>
      <c r="B131" s="14" t="s">
        <v>1368</v>
      </c>
      <c r="C131" s="14" t="s">
        <v>1369</v>
      </c>
      <c r="G131" s="14" t="s">
        <v>1132</v>
      </c>
      <c r="H131" s="14" t="s">
        <v>14</v>
      </c>
      <c r="I131" s="14" t="s">
        <v>1370</v>
      </c>
    </row>
    <row r="132" spans="1:9" hidden="1" x14ac:dyDescent="0.35">
      <c r="A132" s="17" t="s">
        <v>373</v>
      </c>
      <c r="B132" s="14" t="s">
        <v>1371</v>
      </c>
      <c r="C132" s="14" t="s">
        <v>1372</v>
      </c>
      <c r="G132" s="14" t="s">
        <v>1132</v>
      </c>
      <c r="H132" s="14" t="s">
        <v>14</v>
      </c>
      <c r="I132" s="14" t="s">
        <v>1373</v>
      </c>
    </row>
    <row r="133" spans="1:9" ht="72.5" hidden="1" x14ac:dyDescent="0.35">
      <c r="A133" s="17" t="s">
        <v>373</v>
      </c>
      <c r="B133" s="14" t="s">
        <v>432</v>
      </c>
      <c r="C133" s="14" t="s">
        <v>1374</v>
      </c>
      <c r="G133" s="14" t="s">
        <v>1132</v>
      </c>
      <c r="H133" s="14" t="s">
        <v>14</v>
      </c>
      <c r="I133" s="14" t="s">
        <v>1375</v>
      </c>
    </row>
    <row r="134" spans="1:9" ht="58" hidden="1" x14ac:dyDescent="0.35">
      <c r="A134" s="17" t="s">
        <v>373</v>
      </c>
      <c r="B134" s="14" t="s">
        <v>1376</v>
      </c>
      <c r="C134" s="14" t="s">
        <v>1377</v>
      </c>
      <c r="G134" s="14" t="s">
        <v>1132</v>
      </c>
      <c r="H134" s="14" t="s">
        <v>455</v>
      </c>
      <c r="I134" s="14" t="s">
        <v>1378</v>
      </c>
    </row>
    <row r="135" spans="1:9" ht="43.5" hidden="1" x14ac:dyDescent="0.35">
      <c r="A135" s="17" t="s">
        <v>373</v>
      </c>
      <c r="B135" s="14" t="s">
        <v>568</v>
      </c>
      <c r="C135" s="14" t="s">
        <v>1379</v>
      </c>
      <c r="G135" s="14" t="s">
        <v>1132</v>
      </c>
      <c r="H135" s="14" t="s">
        <v>14</v>
      </c>
      <c r="I135" s="14" t="s">
        <v>1380</v>
      </c>
    </row>
    <row r="136" spans="1:9" ht="29" hidden="1" x14ac:dyDescent="0.35">
      <c r="A136" s="17" t="s">
        <v>373</v>
      </c>
      <c r="B136" s="14" t="s">
        <v>1381</v>
      </c>
      <c r="C136" s="14" t="s">
        <v>1382</v>
      </c>
      <c r="G136" s="14" t="s">
        <v>1132</v>
      </c>
      <c r="H136" s="14" t="s">
        <v>14</v>
      </c>
      <c r="I136" s="14" t="s">
        <v>1383</v>
      </c>
    </row>
    <row r="137" spans="1:9" ht="43.5" hidden="1" x14ac:dyDescent="0.35">
      <c r="A137" s="17" t="s">
        <v>373</v>
      </c>
      <c r="B137" s="14" t="s">
        <v>1384</v>
      </c>
      <c r="C137" s="14" t="s">
        <v>1385</v>
      </c>
      <c r="G137" s="14" t="s">
        <v>1132</v>
      </c>
      <c r="H137" s="14" t="s">
        <v>14</v>
      </c>
      <c r="I137" s="14" t="s">
        <v>1386</v>
      </c>
    </row>
    <row r="138" spans="1:9" hidden="1" x14ac:dyDescent="0.35">
      <c r="A138" s="17" t="s">
        <v>373</v>
      </c>
      <c r="B138" s="14" t="s">
        <v>1387</v>
      </c>
      <c r="C138" s="14" t="s">
        <v>1388</v>
      </c>
      <c r="G138" s="14" t="s">
        <v>1132</v>
      </c>
      <c r="H138" s="14" t="s">
        <v>14</v>
      </c>
      <c r="I138" s="14" t="s">
        <v>1389</v>
      </c>
    </row>
    <row r="139" spans="1:9" ht="43.5" hidden="1" x14ac:dyDescent="0.35">
      <c r="A139" s="17" t="s">
        <v>373</v>
      </c>
      <c r="B139" s="14" t="s">
        <v>1390</v>
      </c>
      <c r="C139" s="14" t="s">
        <v>1391</v>
      </c>
      <c r="G139" s="14" t="s">
        <v>1132</v>
      </c>
      <c r="H139" s="14" t="s">
        <v>14</v>
      </c>
      <c r="I139" s="14" t="s">
        <v>1392</v>
      </c>
    </row>
    <row r="140" spans="1:9" hidden="1" x14ac:dyDescent="0.35">
      <c r="A140" s="17" t="s">
        <v>373</v>
      </c>
      <c r="B140" s="14" t="s">
        <v>1393</v>
      </c>
      <c r="C140" s="14" t="s">
        <v>1394</v>
      </c>
      <c r="G140" s="14" t="s">
        <v>1132</v>
      </c>
      <c r="H140" s="14" t="s">
        <v>14</v>
      </c>
      <c r="I140" s="14" t="s">
        <v>1395</v>
      </c>
    </row>
    <row r="141" spans="1:9" ht="43.5" hidden="1" x14ac:dyDescent="0.35">
      <c r="A141" s="17" t="s">
        <v>373</v>
      </c>
      <c r="B141" s="14" t="s">
        <v>1396</v>
      </c>
      <c r="C141" s="14" t="s">
        <v>1397</v>
      </c>
      <c r="G141" s="14" t="s">
        <v>1132</v>
      </c>
      <c r="H141" s="14" t="s">
        <v>14</v>
      </c>
      <c r="I141" s="14" t="s">
        <v>1398</v>
      </c>
    </row>
    <row r="142" spans="1:9" ht="43.5" hidden="1" x14ac:dyDescent="0.35">
      <c r="A142" s="17" t="s">
        <v>373</v>
      </c>
      <c r="B142" s="14" t="s">
        <v>1399</v>
      </c>
      <c r="C142" s="14" t="s">
        <v>1400</v>
      </c>
      <c r="G142" s="14" t="s">
        <v>1132</v>
      </c>
      <c r="H142" s="14" t="s">
        <v>14</v>
      </c>
      <c r="I142" s="14" t="s">
        <v>1401</v>
      </c>
    </row>
    <row r="143" spans="1:9" ht="87" hidden="1" x14ac:dyDescent="0.35">
      <c r="A143" s="17" t="s">
        <v>373</v>
      </c>
      <c r="B143" s="14" t="s">
        <v>1402</v>
      </c>
      <c r="C143" s="14" t="s">
        <v>1403</v>
      </c>
      <c r="G143" s="14" t="s">
        <v>1132</v>
      </c>
      <c r="H143" s="14" t="s">
        <v>14</v>
      </c>
      <c r="I143" s="14" t="s">
        <v>1404</v>
      </c>
    </row>
    <row r="144" spans="1:9" ht="58" hidden="1" x14ac:dyDescent="0.35">
      <c r="A144" s="17" t="s">
        <v>373</v>
      </c>
      <c r="B144" s="14" t="s">
        <v>1405</v>
      </c>
      <c r="C144" s="14" t="s">
        <v>1406</v>
      </c>
      <c r="G144" s="14" t="s">
        <v>1132</v>
      </c>
      <c r="H144" s="14" t="s">
        <v>14</v>
      </c>
      <c r="I144" s="14" t="s">
        <v>1407</v>
      </c>
    </row>
    <row r="145" spans="1:9" ht="29" hidden="1" x14ac:dyDescent="0.35">
      <c r="A145" s="17" t="s">
        <v>373</v>
      </c>
      <c r="B145" s="14" t="s">
        <v>1408</v>
      </c>
      <c r="C145" s="14" t="s">
        <v>1409</v>
      </c>
      <c r="G145" s="14" t="s">
        <v>1132</v>
      </c>
      <c r="H145" s="14" t="s">
        <v>14</v>
      </c>
      <c r="I145" s="14" t="s">
        <v>1410</v>
      </c>
    </row>
    <row r="146" spans="1:9" ht="58" hidden="1" x14ac:dyDescent="0.35">
      <c r="A146" s="17" t="s">
        <v>373</v>
      </c>
      <c r="B146" s="14" t="s">
        <v>1411</v>
      </c>
      <c r="C146" s="14" t="s">
        <v>1412</v>
      </c>
      <c r="G146" s="14" t="s">
        <v>1132</v>
      </c>
      <c r="H146" s="14" t="s">
        <v>14</v>
      </c>
      <c r="I146" s="14" t="s">
        <v>1413</v>
      </c>
    </row>
    <row r="147" spans="1:9" ht="29" hidden="1" x14ac:dyDescent="0.35">
      <c r="A147" s="17" t="s">
        <v>373</v>
      </c>
      <c r="B147" s="14" t="s">
        <v>1414</v>
      </c>
      <c r="C147" s="14" t="s">
        <v>1415</v>
      </c>
      <c r="G147" s="14" t="s">
        <v>1132</v>
      </c>
      <c r="H147" s="14" t="s">
        <v>14</v>
      </c>
      <c r="I147" s="14" t="s">
        <v>1416</v>
      </c>
    </row>
    <row r="148" spans="1:9" ht="29" hidden="1" x14ac:dyDescent="0.35">
      <c r="A148" s="17" t="s">
        <v>373</v>
      </c>
      <c r="B148" s="14" t="s">
        <v>1417</v>
      </c>
      <c r="C148" s="14" t="s">
        <v>1418</v>
      </c>
      <c r="G148" s="14" t="s">
        <v>1132</v>
      </c>
      <c r="H148" s="14" t="s">
        <v>14</v>
      </c>
      <c r="I148" s="14" t="s">
        <v>1419</v>
      </c>
    </row>
    <row r="149" spans="1:9" ht="87" hidden="1" x14ac:dyDescent="0.35">
      <c r="A149" s="17" t="s">
        <v>373</v>
      </c>
      <c r="B149" s="14" t="s">
        <v>1420</v>
      </c>
      <c r="C149" s="14" t="s">
        <v>1421</v>
      </c>
      <c r="G149" s="14" t="s">
        <v>1132</v>
      </c>
      <c r="H149" s="14" t="s">
        <v>455</v>
      </c>
      <c r="I149" s="14" t="s">
        <v>1422</v>
      </c>
    </row>
    <row r="150" spans="1:9" hidden="1" x14ac:dyDescent="0.35">
      <c r="A150" s="17" t="s">
        <v>373</v>
      </c>
      <c r="B150" s="14" t="s">
        <v>607</v>
      </c>
      <c r="C150" s="14" t="s">
        <v>1423</v>
      </c>
      <c r="G150" s="14" t="s">
        <v>1132</v>
      </c>
      <c r="H150" s="14" t="s">
        <v>14</v>
      </c>
      <c r="I150" s="14" t="s">
        <v>1424</v>
      </c>
    </row>
    <row r="151" spans="1:9" ht="29" hidden="1" x14ac:dyDescent="0.35">
      <c r="A151" s="17" t="s">
        <v>373</v>
      </c>
      <c r="B151" s="14" t="s">
        <v>1425</v>
      </c>
      <c r="C151" s="14" t="s">
        <v>1426</v>
      </c>
      <c r="G151" s="14" t="s">
        <v>1132</v>
      </c>
      <c r="H151" s="14" t="s">
        <v>14</v>
      </c>
      <c r="I151" s="14">
        <v>1809</v>
      </c>
    </row>
    <row r="152" spans="1:9" ht="58" x14ac:dyDescent="0.35">
      <c r="A152" s="17" t="s">
        <v>373</v>
      </c>
      <c r="B152" s="14" t="s">
        <v>546</v>
      </c>
      <c r="C152" s="14" t="s">
        <v>1427</v>
      </c>
      <c r="D152" s="14">
        <v>0</v>
      </c>
      <c r="F152" s="23" t="s">
        <v>19</v>
      </c>
      <c r="G152" s="14" t="s">
        <v>1210</v>
      </c>
      <c r="H152" s="14" t="s">
        <v>49</v>
      </c>
      <c r="I152" s="14" t="s">
        <v>1428</v>
      </c>
    </row>
    <row r="153" spans="1:9" ht="101.5" x14ac:dyDescent="0.35">
      <c r="A153" s="17" t="s">
        <v>373</v>
      </c>
      <c r="B153" s="14" t="s">
        <v>1429</v>
      </c>
      <c r="C153" s="14" t="s">
        <v>1430</v>
      </c>
      <c r="D153" s="14">
        <v>1</v>
      </c>
      <c r="F153" s="23" t="s">
        <v>274</v>
      </c>
      <c r="G153" s="14" t="s">
        <v>1210</v>
      </c>
      <c r="H153" s="14" t="s">
        <v>1431</v>
      </c>
      <c r="I153" s="14" t="s">
        <v>1432</v>
      </c>
    </row>
    <row r="154" spans="1:9" ht="58" x14ac:dyDescent="0.35">
      <c r="A154" s="17" t="s">
        <v>373</v>
      </c>
      <c r="B154" s="14" t="s">
        <v>346</v>
      </c>
      <c r="C154" s="14" t="s">
        <v>1433</v>
      </c>
      <c r="D154" s="14">
        <v>1</v>
      </c>
      <c r="E154" s="23" t="s">
        <v>1853</v>
      </c>
      <c r="F154" s="23" t="s">
        <v>1854</v>
      </c>
      <c r="G154" s="14" t="s">
        <v>1210</v>
      </c>
      <c r="H154" s="14" t="s">
        <v>49</v>
      </c>
      <c r="I154" s="14" t="s">
        <v>1434</v>
      </c>
    </row>
    <row r="155" spans="1:9" ht="29" x14ac:dyDescent="0.35">
      <c r="A155" s="17" t="s">
        <v>373</v>
      </c>
      <c r="B155" s="14" t="s">
        <v>1435</v>
      </c>
      <c r="C155" s="23" t="s">
        <v>1436</v>
      </c>
      <c r="D155" s="14">
        <v>1</v>
      </c>
      <c r="F155" s="23" t="s">
        <v>274</v>
      </c>
      <c r="G155" s="14" t="s">
        <v>1210</v>
      </c>
      <c r="H155" s="14" t="s">
        <v>1431</v>
      </c>
      <c r="I155" s="14" t="s">
        <v>1437</v>
      </c>
    </row>
    <row r="156" spans="1:9" ht="29" x14ac:dyDescent="0.35">
      <c r="A156" s="17" t="s">
        <v>373</v>
      </c>
      <c r="B156" s="14" t="s">
        <v>1438</v>
      </c>
      <c r="C156" s="14" t="s">
        <v>1439</v>
      </c>
      <c r="D156" s="14">
        <v>1</v>
      </c>
      <c r="F156" s="23" t="s">
        <v>274</v>
      </c>
      <c r="G156" s="14" t="s">
        <v>1210</v>
      </c>
      <c r="H156" s="14" t="s">
        <v>1431</v>
      </c>
      <c r="I156" s="14" t="s">
        <v>1440</v>
      </c>
    </row>
    <row r="157" spans="1:9" ht="58" x14ac:dyDescent="0.35">
      <c r="A157" s="17" t="s">
        <v>373</v>
      </c>
      <c r="B157" s="14" t="s">
        <v>1441</v>
      </c>
      <c r="C157" s="14" t="s">
        <v>1442</v>
      </c>
      <c r="D157" s="14">
        <v>1</v>
      </c>
      <c r="E157" s="23" t="s">
        <v>1855</v>
      </c>
      <c r="F157" s="23" t="s">
        <v>274</v>
      </c>
      <c r="G157" s="14" t="s">
        <v>1210</v>
      </c>
      <c r="H157" s="14" t="s">
        <v>1431</v>
      </c>
      <c r="I157" s="14" t="s">
        <v>1443</v>
      </c>
    </row>
    <row r="158" spans="1:9" ht="43.5" x14ac:dyDescent="0.35">
      <c r="A158" s="17" t="s">
        <v>373</v>
      </c>
      <c r="B158" s="14" t="s">
        <v>364</v>
      </c>
      <c r="C158" s="14" t="s">
        <v>1444</v>
      </c>
      <c r="D158" s="14">
        <v>0</v>
      </c>
      <c r="F158" s="23" t="s">
        <v>19</v>
      </c>
      <c r="G158" s="14" t="s">
        <v>1210</v>
      </c>
      <c r="H158" s="14" t="s">
        <v>49</v>
      </c>
      <c r="I158" s="14" t="s">
        <v>1445</v>
      </c>
    </row>
    <row r="159" spans="1:9" ht="29" x14ac:dyDescent="0.35">
      <c r="A159" s="17" t="s">
        <v>373</v>
      </c>
      <c r="B159" s="14" t="s">
        <v>1446</v>
      </c>
      <c r="C159" s="23" t="s">
        <v>1447</v>
      </c>
      <c r="D159" s="14">
        <v>1</v>
      </c>
      <c r="F159" s="23" t="s">
        <v>274</v>
      </c>
      <c r="G159" s="14" t="s">
        <v>1210</v>
      </c>
      <c r="H159" s="14" t="s">
        <v>566</v>
      </c>
      <c r="I159" s="14" t="s">
        <v>1448</v>
      </c>
    </row>
    <row r="160" spans="1:9" ht="58" x14ac:dyDescent="0.35">
      <c r="A160" s="17" t="s">
        <v>373</v>
      </c>
      <c r="B160" s="14" t="s">
        <v>1449</v>
      </c>
      <c r="C160" s="23" t="s">
        <v>1450</v>
      </c>
      <c r="D160" s="14">
        <v>0</v>
      </c>
      <c r="F160" s="23" t="s">
        <v>84</v>
      </c>
      <c r="G160" s="14" t="s">
        <v>1210</v>
      </c>
      <c r="H160" s="14" t="s">
        <v>566</v>
      </c>
      <c r="I160" s="14" t="s">
        <v>1451</v>
      </c>
    </row>
    <row r="161" spans="1:9" ht="43.5" x14ac:dyDescent="0.35">
      <c r="A161" s="17" t="s">
        <v>373</v>
      </c>
      <c r="B161" s="14" t="s">
        <v>1452</v>
      </c>
      <c r="C161" s="14" t="s">
        <v>1453</v>
      </c>
      <c r="D161" s="14">
        <v>1</v>
      </c>
      <c r="F161" s="23" t="s">
        <v>1847</v>
      </c>
      <c r="G161" s="14" t="s">
        <v>1210</v>
      </c>
      <c r="H161" s="14" t="s">
        <v>1231</v>
      </c>
      <c r="I161" s="14" t="s">
        <v>1454</v>
      </c>
    </row>
    <row r="162" spans="1:9" ht="58" x14ac:dyDescent="0.35">
      <c r="A162" s="17" t="s">
        <v>373</v>
      </c>
      <c r="B162" s="14" t="s">
        <v>249</v>
      </c>
      <c r="C162" s="14" t="s">
        <v>1455</v>
      </c>
      <c r="D162" s="14">
        <v>0</v>
      </c>
      <c r="E162" s="23" t="s">
        <v>1856</v>
      </c>
      <c r="F162" s="23" t="s">
        <v>19</v>
      </c>
      <c r="G162" s="14" t="s">
        <v>1210</v>
      </c>
      <c r="H162" s="14" t="s">
        <v>49</v>
      </c>
      <c r="I162" s="14" t="s">
        <v>1239</v>
      </c>
    </row>
    <row r="163" spans="1:9" ht="29" x14ac:dyDescent="0.35">
      <c r="A163" s="17" t="s">
        <v>373</v>
      </c>
      <c r="B163" s="14" t="s">
        <v>1456</v>
      </c>
      <c r="C163" s="23" t="s">
        <v>1457</v>
      </c>
      <c r="D163" s="14">
        <v>0</v>
      </c>
      <c r="F163" s="23" t="s">
        <v>84</v>
      </c>
      <c r="G163" s="14" t="s">
        <v>1210</v>
      </c>
      <c r="H163" s="14" t="s">
        <v>566</v>
      </c>
      <c r="I163" s="14" t="s">
        <v>1458</v>
      </c>
    </row>
    <row r="164" spans="1:9" ht="29" x14ac:dyDescent="0.35">
      <c r="A164" s="17" t="s">
        <v>373</v>
      </c>
      <c r="B164" s="14" t="s">
        <v>1459</v>
      </c>
      <c r="C164" s="23" t="s">
        <v>1460</v>
      </c>
      <c r="D164" s="14">
        <v>0</v>
      </c>
      <c r="F164" s="23" t="s">
        <v>84</v>
      </c>
      <c r="G164" s="14" t="s">
        <v>1210</v>
      </c>
      <c r="H164" s="14" t="s">
        <v>566</v>
      </c>
      <c r="I164" s="14" t="s">
        <v>1461</v>
      </c>
    </row>
    <row r="165" spans="1:9" ht="72.5" x14ac:dyDescent="0.35">
      <c r="A165" s="17" t="s">
        <v>373</v>
      </c>
      <c r="B165" s="14" t="s">
        <v>1462</v>
      </c>
      <c r="C165" s="23" t="s">
        <v>1463</v>
      </c>
      <c r="D165" s="14">
        <v>0</v>
      </c>
      <c r="G165" s="14" t="s">
        <v>1210</v>
      </c>
      <c r="H165" s="14" t="s">
        <v>566</v>
      </c>
      <c r="I165" s="14" t="s">
        <v>1464</v>
      </c>
    </row>
    <row r="166" spans="1:9" ht="43.5" x14ac:dyDescent="0.35">
      <c r="A166" s="17" t="s">
        <v>373</v>
      </c>
      <c r="B166" s="14" t="s">
        <v>563</v>
      </c>
      <c r="C166" s="14" t="s">
        <v>1465</v>
      </c>
      <c r="D166" s="14">
        <v>1</v>
      </c>
      <c r="E166" s="23" t="s">
        <v>1857</v>
      </c>
      <c r="F166" s="23" t="s">
        <v>274</v>
      </c>
      <c r="G166" s="14" t="s">
        <v>1210</v>
      </c>
      <c r="H166" s="14" t="s">
        <v>566</v>
      </c>
      <c r="I166" s="14" t="s">
        <v>567</v>
      </c>
    </row>
    <row r="167" spans="1:9" ht="72.5" x14ac:dyDescent="0.35">
      <c r="A167" s="17" t="s">
        <v>373</v>
      </c>
      <c r="B167" s="14" t="s">
        <v>134</v>
      </c>
      <c r="C167" s="14" t="s">
        <v>1466</v>
      </c>
      <c r="D167" s="14">
        <v>1</v>
      </c>
      <c r="E167" s="23" t="s">
        <v>1858</v>
      </c>
      <c r="F167" s="23" t="s">
        <v>19</v>
      </c>
      <c r="G167" s="14" t="s">
        <v>1210</v>
      </c>
      <c r="H167" s="14" t="s">
        <v>49</v>
      </c>
      <c r="I167" s="14" t="s">
        <v>137</v>
      </c>
    </row>
    <row r="168" spans="1:9" ht="29" x14ac:dyDescent="0.35">
      <c r="A168" s="17" t="s">
        <v>373</v>
      </c>
      <c r="B168" s="14" t="s">
        <v>1263</v>
      </c>
      <c r="C168" s="14" t="s">
        <v>1467</v>
      </c>
      <c r="D168" s="14">
        <v>0</v>
      </c>
      <c r="F168" s="23" t="s">
        <v>140</v>
      </c>
      <c r="G168" s="14" t="s">
        <v>1210</v>
      </c>
      <c r="H168" s="14" t="s">
        <v>49</v>
      </c>
      <c r="I168" s="14" t="s">
        <v>1468</v>
      </c>
    </row>
    <row r="169" spans="1:9" ht="58" x14ac:dyDescent="0.35">
      <c r="A169" s="17" t="s">
        <v>373</v>
      </c>
      <c r="B169" s="14" t="s">
        <v>1469</v>
      </c>
      <c r="C169" s="14" t="s">
        <v>1470</v>
      </c>
      <c r="D169" s="14">
        <v>0</v>
      </c>
      <c r="F169" s="23" t="s">
        <v>84</v>
      </c>
      <c r="G169" s="14" t="s">
        <v>1210</v>
      </c>
      <c r="H169" s="14" t="s">
        <v>1431</v>
      </c>
      <c r="I169" s="14" t="s">
        <v>1471</v>
      </c>
    </row>
    <row r="170" spans="1:9" ht="43.5" x14ac:dyDescent="0.35">
      <c r="A170" s="17" t="s">
        <v>373</v>
      </c>
      <c r="B170" s="14" t="s">
        <v>1472</v>
      </c>
      <c r="C170" s="14" t="s">
        <v>1473</v>
      </c>
      <c r="D170" s="14">
        <v>1</v>
      </c>
      <c r="F170" s="23" t="s">
        <v>274</v>
      </c>
      <c r="G170" s="14" t="s">
        <v>1210</v>
      </c>
      <c r="H170" s="14" t="s">
        <v>1431</v>
      </c>
      <c r="I170" s="14" t="s">
        <v>637</v>
      </c>
    </row>
    <row r="171" spans="1:9" ht="43.5" x14ac:dyDescent="0.35">
      <c r="A171" s="17" t="s">
        <v>373</v>
      </c>
      <c r="B171" s="14" t="s">
        <v>1474</v>
      </c>
      <c r="C171" s="14" t="s">
        <v>1475</v>
      </c>
      <c r="D171" s="14">
        <v>1</v>
      </c>
      <c r="F171" s="23" t="s">
        <v>40</v>
      </c>
      <c r="G171" s="14" t="s">
        <v>1210</v>
      </c>
      <c r="H171" s="14" t="s">
        <v>49</v>
      </c>
      <c r="I171" s="14" t="s">
        <v>1476</v>
      </c>
    </row>
    <row r="172" spans="1:9" ht="29" x14ac:dyDescent="0.35">
      <c r="A172" s="17" t="s">
        <v>373</v>
      </c>
      <c r="B172" s="14" t="s">
        <v>669</v>
      </c>
      <c r="C172" s="14" t="s">
        <v>1477</v>
      </c>
      <c r="D172" s="14">
        <v>0</v>
      </c>
      <c r="F172" s="23" t="s">
        <v>77</v>
      </c>
      <c r="G172" s="14" t="s">
        <v>1210</v>
      </c>
      <c r="H172" s="14" t="s">
        <v>566</v>
      </c>
      <c r="I172" s="14" t="s">
        <v>1478</v>
      </c>
    </row>
    <row r="173" spans="1:9" ht="29" x14ac:dyDescent="0.35">
      <c r="A173" s="17" t="s">
        <v>373</v>
      </c>
      <c r="B173" s="14" t="s">
        <v>1479</v>
      </c>
      <c r="C173" s="14" t="s">
        <v>1480</v>
      </c>
      <c r="D173" s="14">
        <v>0</v>
      </c>
      <c r="F173" s="23" t="s">
        <v>77</v>
      </c>
      <c r="G173" s="14" t="s">
        <v>1210</v>
      </c>
      <c r="H173" s="14" t="s">
        <v>1431</v>
      </c>
      <c r="I173" s="14" t="s">
        <v>1481</v>
      </c>
    </row>
    <row r="174" spans="1:9" ht="101.5" x14ac:dyDescent="0.35">
      <c r="A174" s="17" t="s">
        <v>373</v>
      </c>
      <c r="B174" s="14" t="s">
        <v>633</v>
      </c>
      <c r="C174" s="14" t="s">
        <v>1482</v>
      </c>
      <c r="D174" s="14">
        <v>1</v>
      </c>
      <c r="F174" s="23" t="s">
        <v>274</v>
      </c>
      <c r="G174" s="14" t="s">
        <v>1210</v>
      </c>
      <c r="H174" s="14" t="s">
        <v>566</v>
      </c>
      <c r="I174" s="14" t="s">
        <v>1483</v>
      </c>
    </row>
    <row r="175" spans="1:9" ht="29" x14ac:dyDescent="0.35">
      <c r="A175" s="17" t="s">
        <v>373</v>
      </c>
      <c r="B175" s="14" t="s">
        <v>1484</v>
      </c>
      <c r="C175" s="23" t="s">
        <v>1485</v>
      </c>
      <c r="D175" s="14">
        <v>0</v>
      </c>
      <c r="F175" s="23" t="s">
        <v>77</v>
      </c>
      <c r="G175" s="14" t="s">
        <v>1210</v>
      </c>
      <c r="H175" s="14" t="s">
        <v>566</v>
      </c>
      <c r="I175" s="14" t="s">
        <v>1486</v>
      </c>
    </row>
    <row r="176" spans="1:9" ht="29" x14ac:dyDescent="0.35">
      <c r="A176" s="17" t="s">
        <v>373</v>
      </c>
      <c r="B176" s="14" t="s">
        <v>1487</v>
      </c>
      <c r="C176" s="14" t="s">
        <v>1488</v>
      </c>
      <c r="D176" s="14">
        <v>0</v>
      </c>
      <c r="F176" s="23" t="s">
        <v>84</v>
      </c>
      <c r="G176" s="14" t="s">
        <v>1210</v>
      </c>
      <c r="H176" s="14" t="s">
        <v>566</v>
      </c>
      <c r="I176" s="14" t="s">
        <v>1489</v>
      </c>
    </row>
    <row r="177" spans="1:9" ht="72.5" x14ac:dyDescent="0.35">
      <c r="A177" s="17" t="s">
        <v>373</v>
      </c>
      <c r="B177" s="14" t="s">
        <v>336</v>
      </c>
      <c r="C177" s="14" t="s">
        <v>1490</v>
      </c>
      <c r="D177" s="14">
        <v>1</v>
      </c>
      <c r="E177" s="23" t="s">
        <v>563</v>
      </c>
      <c r="F177" s="23" t="s">
        <v>274</v>
      </c>
      <c r="G177" s="14" t="s">
        <v>1210</v>
      </c>
      <c r="H177" s="14" t="s">
        <v>49</v>
      </c>
      <c r="I177" s="14" t="s">
        <v>1491</v>
      </c>
    </row>
    <row r="178" spans="1:9" ht="29" x14ac:dyDescent="0.35">
      <c r="A178" s="17" t="s">
        <v>373</v>
      </c>
      <c r="B178" s="14" t="s">
        <v>120</v>
      </c>
      <c r="C178" s="14" t="s">
        <v>1492</v>
      </c>
      <c r="D178" s="14">
        <v>1</v>
      </c>
      <c r="F178" s="23" t="s">
        <v>40</v>
      </c>
      <c r="G178" s="14" t="s">
        <v>1210</v>
      </c>
      <c r="H178" s="14" t="s">
        <v>49</v>
      </c>
      <c r="I178" s="14" t="s">
        <v>1493</v>
      </c>
    </row>
    <row r="179" spans="1:9" ht="29" x14ac:dyDescent="0.35">
      <c r="A179" s="17" t="s">
        <v>373</v>
      </c>
      <c r="B179" s="14" t="s">
        <v>1494</v>
      </c>
      <c r="C179" s="14" t="s">
        <v>1495</v>
      </c>
      <c r="D179" s="14">
        <v>0</v>
      </c>
      <c r="F179" s="23" t="s">
        <v>19</v>
      </c>
      <c r="G179" s="14" t="s">
        <v>1210</v>
      </c>
      <c r="H179" s="14" t="s">
        <v>566</v>
      </c>
      <c r="I179" s="14" t="s">
        <v>1496</v>
      </c>
    </row>
    <row r="180" spans="1:9" ht="43.5" x14ac:dyDescent="0.35">
      <c r="A180" s="17" t="s">
        <v>373</v>
      </c>
      <c r="B180" s="14" t="s">
        <v>1497</v>
      </c>
      <c r="C180" s="14" t="s">
        <v>1498</v>
      </c>
      <c r="D180" s="14">
        <v>1</v>
      </c>
      <c r="F180" s="23" t="s">
        <v>274</v>
      </c>
      <c r="G180" s="14" t="s">
        <v>1210</v>
      </c>
      <c r="H180" s="14" t="s">
        <v>566</v>
      </c>
      <c r="I180" s="14" t="s">
        <v>1499</v>
      </c>
    </row>
    <row r="181" spans="1:9" ht="43.5" x14ac:dyDescent="0.35">
      <c r="A181" s="17" t="s">
        <v>373</v>
      </c>
      <c r="B181" s="14" t="s">
        <v>1500</v>
      </c>
      <c r="C181" s="23" t="s">
        <v>1501</v>
      </c>
      <c r="D181" s="14">
        <v>0</v>
      </c>
      <c r="F181" s="23" t="s">
        <v>84</v>
      </c>
      <c r="G181" s="14" t="s">
        <v>1210</v>
      </c>
      <c r="H181" s="14" t="s">
        <v>1431</v>
      </c>
      <c r="I181" s="14" t="s">
        <v>1502</v>
      </c>
    </row>
    <row r="182" spans="1:9" ht="29" x14ac:dyDescent="0.35">
      <c r="A182" s="17" t="s">
        <v>373</v>
      </c>
      <c r="B182" s="14" t="s">
        <v>1503</v>
      </c>
      <c r="C182" s="14" t="s">
        <v>1504</v>
      </c>
      <c r="D182" s="14">
        <v>0</v>
      </c>
      <c r="F182" s="23" t="s">
        <v>84</v>
      </c>
      <c r="G182" s="14" t="s">
        <v>1210</v>
      </c>
      <c r="H182" s="14" t="s">
        <v>566</v>
      </c>
      <c r="I182" s="14" t="s">
        <v>1505</v>
      </c>
    </row>
    <row r="183" spans="1:9" ht="29" x14ac:dyDescent="0.35">
      <c r="A183" s="17" t="s">
        <v>373</v>
      </c>
      <c r="B183" s="14" t="s">
        <v>793</v>
      </c>
      <c r="C183" s="14" t="s">
        <v>1506</v>
      </c>
      <c r="D183" s="14">
        <v>0</v>
      </c>
      <c r="F183" s="23" t="s">
        <v>140</v>
      </c>
      <c r="G183" s="14" t="s">
        <v>1210</v>
      </c>
      <c r="H183" s="14" t="s">
        <v>49</v>
      </c>
      <c r="I183" s="14" t="s">
        <v>1507</v>
      </c>
    </row>
    <row r="184" spans="1:9" ht="29" x14ac:dyDescent="0.35">
      <c r="A184" s="17" t="s">
        <v>373</v>
      </c>
      <c r="B184" s="14" t="s">
        <v>1508</v>
      </c>
      <c r="C184" s="14" t="s">
        <v>1509</v>
      </c>
      <c r="D184" s="14">
        <v>0</v>
      </c>
      <c r="F184" s="23" t="s">
        <v>77</v>
      </c>
      <c r="G184" s="14" t="s">
        <v>1210</v>
      </c>
      <c r="H184" s="14" t="s">
        <v>566</v>
      </c>
      <c r="I184" s="14" t="s">
        <v>1510</v>
      </c>
    </row>
    <row r="185" spans="1:9" ht="29" x14ac:dyDescent="0.35">
      <c r="A185" s="17" t="s">
        <v>373</v>
      </c>
      <c r="B185" s="14" t="s">
        <v>142</v>
      </c>
      <c r="C185" s="14" t="s">
        <v>1511</v>
      </c>
      <c r="D185" s="14">
        <v>1</v>
      </c>
      <c r="F185" s="23" t="s">
        <v>29</v>
      </c>
      <c r="G185" s="14" t="s">
        <v>1210</v>
      </c>
      <c r="H185" s="14" t="s">
        <v>49</v>
      </c>
      <c r="I185" s="14" t="s">
        <v>1512</v>
      </c>
    </row>
    <row r="186" spans="1:9" ht="58" x14ac:dyDescent="0.35">
      <c r="A186" s="17" t="s">
        <v>373</v>
      </c>
      <c r="B186" s="14" t="s">
        <v>59</v>
      </c>
      <c r="C186" s="14" t="s">
        <v>1513</v>
      </c>
      <c r="D186" s="14">
        <v>0</v>
      </c>
      <c r="E186" s="23" t="s">
        <v>1859</v>
      </c>
      <c r="F186" s="23" t="s">
        <v>1860</v>
      </c>
      <c r="G186" s="14" t="s">
        <v>1210</v>
      </c>
      <c r="H186" s="14" t="s">
        <v>49</v>
      </c>
      <c r="I186" s="14" t="s">
        <v>1514</v>
      </c>
    </row>
    <row r="187" spans="1:9" ht="29" x14ac:dyDescent="0.35">
      <c r="A187" s="17" t="s">
        <v>373</v>
      </c>
      <c r="B187" s="14" t="s">
        <v>994</v>
      </c>
      <c r="C187" s="14" t="s">
        <v>1515</v>
      </c>
      <c r="D187" s="14">
        <v>0</v>
      </c>
      <c r="E187" s="23" t="s">
        <v>1861</v>
      </c>
      <c r="F187" s="23" t="s">
        <v>1860</v>
      </c>
      <c r="G187" s="14" t="s">
        <v>1210</v>
      </c>
      <c r="H187" s="14" t="s">
        <v>49</v>
      </c>
      <c r="I187" s="14" t="s">
        <v>1516</v>
      </c>
    </row>
    <row r="188" spans="1:9" ht="72.5" x14ac:dyDescent="0.35">
      <c r="A188" s="17" t="s">
        <v>373</v>
      </c>
      <c r="B188" s="14" t="s">
        <v>377</v>
      </c>
      <c r="C188" s="23" t="s">
        <v>1517</v>
      </c>
      <c r="D188" s="14">
        <v>0</v>
      </c>
      <c r="F188" s="23" t="s">
        <v>84</v>
      </c>
      <c r="G188" s="14" t="s">
        <v>1210</v>
      </c>
      <c r="H188" s="14" t="s">
        <v>380</v>
      </c>
      <c r="I188" s="14" t="s">
        <v>1518</v>
      </c>
    </row>
    <row r="189" spans="1:9" ht="43.5" x14ac:dyDescent="0.35">
      <c r="A189" s="17" t="s">
        <v>373</v>
      </c>
      <c r="B189" s="14" t="s">
        <v>1519</v>
      </c>
      <c r="C189" s="23" t="s">
        <v>1520</v>
      </c>
      <c r="D189" s="14">
        <v>0</v>
      </c>
      <c r="F189" s="23" t="s">
        <v>77</v>
      </c>
      <c r="G189" s="14" t="s">
        <v>1210</v>
      </c>
      <c r="H189" s="14" t="s">
        <v>49</v>
      </c>
      <c r="I189" s="14" t="s">
        <v>1521</v>
      </c>
    </row>
    <row r="190" spans="1:9" ht="43.5" x14ac:dyDescent="0.35">
      <c r="A190" s="17" t="s">
        <v>373</v>
      </c>
      <c r="B190" s="14" t="s">
        <v>1522</v>
      </c>
      <c r="C190" s="14" t="s">
        <v>1523</v>
      </c>
      <c r="D190" s="14">
        <v>0</v>
      </c>
      <c r="F190" s="23" t="s">
        <v>19</v>
      </c>
      <c r="G190" s="14" t="s">
        <v>1210</v>
      </c>
      <c r="H190" s="14" t="s">
        <v>49</v>
      </c>
      <c r="I190" s="14" t="s">
        <v>1524</v>
      </c>
    </row>
    <row r="191" spans="1:9" ht="43.5" x14ac:dyDescent="0.35">
      <c r="A191" s="17" t="s">
        <v>373</v>
      </c>
      <c r="B191" s="14" t="s">
        <v>82</v>
      </c>
      <c r="C191" s="14" t="s">
        <v>1525</v>
      </c>
      <c r="D191" s="14">
        <v>1</v>
      </c>
      <c r="E191" s="23" t="s">
        <v>1862</v>
      </c>
      <c r="F191" s="23" t="s">
        <v>40</v>
      </c>
      <c r="G191" s="14" t="s">
        <v>1210</v>
      </c>
      <c r="H191" s="14" t="s">
        <v>49</v>
      </c>
      <c r="I191" s="14" t="s">
        <v>1526</v>
      </c>
    </row>
    <row r="192" spans="1:9" ht="29" x14ac:dyDescent="0.35">
      <c r="A192" s="17" t="s">
        <v>373</v>
      </c>
      <c r="B192" s="14" t="s">
        <v>1527</v>
      </c>
      <c r="C192" s="14" t="s">
        <v>1528</v>
      </c>
      <c r="D192" s="14">
        <v>0</v>
      </c>
      <c r="F192" s="23" t="s">
        <v>84</v>
      </c>
      <c r="G192" s="14" t="s">
        <v>1210</v>
      </c>
      <c r="H192" s="14" t="s">
        <v>566</v>
      </c>
      <c r="I192" s="14" t="s">
        <v>1529</v>
      </c>
    </row>
    <row r="193" spans="1:9" x14ac:dyDescent="0.35">
      <c r="A193" s="17" t="s">
        <v>373</v>
      </c>
      <c r="B193" s="14" t="s">
        <v>560</v>
      </c>
      <c r="C193" s="14" t="s">
        <v>1530</v>
      </c>
      <c r="D193" s="14">
        <v>0</v>
      </c>
      <c r="F193" s="23" t="s">
        <v>13</v>
      </c>
      <c r="G193" s="14" t="s">
        <v>1210</v>
      </c>
      <c r="H193" s="14" t="s">
        <v>49</v>
      </c>
      <c r="I193" s="14" t="s">
        <v>1531</v>
      </c>
    </row>
    <row r="194" spans="1:9" ht="58" x14ac:dyDescent="0.35">
      <c r="A194" s="17" t="s">
        <v>373</v>
      </c>
      <c r="B194" s="14" t="s">
        <v>355</v>
      </c>
      <c r="C194" s="14" t="s">
        <v>1532</v>
      </c>
      <c r="D194" s="14">
        <v>0</v>
      </c>
      <c r="F194" s="23" t="s">
        <v>140</v>
      </c>
      <c r="G194" s="14" t="s">
        <v>1210</v>
      </c>
      <c r="H194" s="14" t="s">
        <v>49</v>
      </c>
      <c r="I194" s="14" t="s">
        <v>1533</v>
      </c>
    </row>
    <row r="195" spans="1:9" x14ac:dyDescent="0.35">
      <c r="A195" s="17" t="s">
        <v>373</v>
      </c>
      <c r="B195" s="14" t="s">
        <v>1098</v>
      </c>
      <c r="C195" s="14" t="s">
        <v>1534</v>
      </c>
      <c r="D195" s="14">
        <v>0</v>
      </c>
      <c r="F195" s="23" t="s">
        <v>77</v>
      </c>
      <c r="G195" s="14" t="s">
        <v>1210</v>
      </c>
      <c r="H195" s="14" t="s">
        <v>49</v>
      </c>
      <c r="I195" s="14" t="s">
        <v>1535</v>
      </c>
    </row>
    <row r="196" spans="1:9" ht="43.5" x14ac:dyDescent="0.35">
      <c r="A196" s="17" t="s">
        <v>373</v>
      </c>
      <c r="B196" s="14" t="s">
        <v>1536</v>
      </c>
      <c r="C196" s="23" t="s">
        <v>1537</v>
      </c>
      <c r="D196" s="14">
        <v>0</v>
      </c>
      <c r="F196" s="23" t="s">
        <v>77</v>
      </c>
      <c r="G196" s="14" t="s">
        <v>1210</v>
      </c>
      <c r="H196" s="14" t="s">
        <v>566</v>
      </c>
      <c r="I196" s="14" t="s">
        <v>1538</v>
      </c>
    </row>
    <row r="197" spans="1:9" ht="43.5" x14ac:dyDescent="0.35">
      <c r="A197" s="17" t="s">
        <v>373</v>
      </c>
      <c r="B197" s="14" t="s">
        <v>342</v>
      </c>
      <c r="C197" s="14" t="s">
        <v>1539</v>
      </c>
      <c r="D197" s="14">
        <v>0</v>
      </c>
      <c r="E197" s="23" t="s">
        <v>1863</v>
      </c>
      <c r="F197" s="23" t="s">
        <v>19</v>
      </c>
      <c r="G197" s="14" t="s">
        <v>1210</v>
      </c>
      <c r="H197" s="14" t="s">
        <v>49</v>
      </c>
      <c r="I197" s="14" t="s">
        <v>1540</v>
      </c>
    </row>
    <row r="198" spans="1:9" ht="29" x14ac:dyDescent="0.35">
      <c r="A198" s="17" t="s">
        <v>373</v>
      </c>
      <c r="B198" s="14" t="s">
        <v>1541</v>
      </c>
      <c r="C198" s="14" t="s">
        <v>1542</v>
      </c>
      <c r="D198" s="14">
        <v>1</v>
      </c>
      <c r="F198" s="23" t="s">
        <v>274</v>
      </c>
      <c r="G198" s="14" t="s">
        <v>1210</v>
      </c>
      <c r="H198" s="14" t="s">
        <v>1543</v>
      </c>
      <c r="I198" s="14" t="s">
        <v>1544</v>
      </c>
    </row>
    <row r="199" spans="1:9" ht="43.5" x14ac:dyDescent="0.35">
      <c r="A199" s="17" t="s">
        <v>373</v>
      </c>
      <c r="B199" s="14" t="s">
        <v>807</v>
      </c>
      <c r="C199" s="14" t="s">
        <v>1545</v>
      </c>
      <c r="D199" s="14">
        <v>1</v>
      </c>
      <c r="E199" s="23" t="s">
        <v>1864</v>
      </c>
      <c r="F199" s="23" t="s">
        <v>40</v>
      </c>
      <c r="G199" s="14" t="s">
        <v>1210</v>
      </c>
      <c r="H199" s="14" t="s">
        <v>49</v>
      </c>
      <c r="I199" s="14" t="s">
        <v>1546</v>
      </c>
    </row>
    <row r="200" spans="1:9" ht="29" x14ac:dyDescent="0.35">
      <c r="A200" s="17" t="s">
        <v>373</v>
      </c>
      <c r="B200" s="14" t="s">
        <v>1547</v>
      </c>
      <c r="C200" s="14" t="s">
        <v>1548</v>
      </c>
      <c r="D200" s="14">
        <v>0</v>
      </c>
      <c r="F200" s="23" t="s">
        <v>77</v>
      </c>
      <c r="G200" s="14" t="s">
        <v>1210</v>
      </c>
      <c r="H200" s="14" t="s">
        <v>49</v>
      </c>
      <c r="I200" s="14" t="s">
        <v>1549</v>
      </c>
    </row>
    <row r="201" spans="1:9" ht="87" x14ac:dyDescent="0.35">
      <c r="A201" s="17" t="s">
        <v>373</v>
      </c>
      <c r="B201" s="14" t="s">
        <v>1550</v>
      </c>
      <c r="C201" s="14" t="s">
        <v>1551</v>
      </c>
      <c r="D201" s="14">
        <v>1</v>
      </c>
      <c r="E201" s="23" t="s">
        <v>1865</v>
      </c>
      <c r="F201" s="23" t="s">
        <v>274</v>
      </c>
      <c r="G201" s="14" t="s">
        <v>1210</v>
      </c>
      <c r="H201" s="14" t="s">
        <v>1431</v>
      </c>
      <c r="I201" s="14" t="s">
        <v>1552</v>
      </c>
    </row>
    <row r="202" spans="1:9" hidden="1" x14ac:dyDescent="0.35">
      <c r="A202" s="18" t="s">
        <v>737</v>
      </c>
      <c r="B202" s="14" t="s">
        <v>937</v>
      </c>
      <c r="C202" s="14" t="s">
        <v>1553</v>
      </c>
      <c r="G202" s="14" t="s">
        <v>1132</v>
      </c>
      <c r="H202" s="14" t="s">
        <v>24</v>
      </c>
      <c r="I202" s="14" t="s">
        <v>1554</v>
      </c>
    </row>
    <row r="203" spans="1:9" ht="29" hidden="1" x14ac:dyDescent="0.35">
      <c r="A203" s="18" t="s">
        <v>737</v>
      </c>
      <c r="B203" s="14" t="s">
        <v>1555</v>
      </c>
      <c r="C203" s="14" t="s">
        <v>1556</v>
      </c>
      <c r="G203" s="14" t="s">
        <v>1132</v>
      </c>
      <c r="H203" s="14" t="s">
        <v>455</v>
      </c>
      <c r="I203" s="14" t="s">
        <v>1557</v>
      </c>
    </row>
    <row r="204" spans="1:9" ht="29" hidden="1" x14ac:dyDescent="0.35">
      <c r="A204" s="18" t="s">
        <v>737</v>
      </c>
      <c r="B204" s="14" t="s">
        <v>1558</v>
      </c>
      <c r="C204" s="14" t="s">
        <v>1559</v>
      </c>
      <c r="G204" s="14" t="s">
        <v>1132</v>
      </c>
      <c r="H204" s="14" t="s">
        <v>455</v>
      </c>
      <c r="I204" s="14" t="s">
        <v>1560</v>
      </c>
    </row>
    <row r="205" spans="1:9" ht="87" hidden="1" x14ac:dyDescent="0.35">
      <c r="A205" s="18" t="s">
        <v>737</v>
      </c>
      <c r="B205" s="14" t="s">
        <v>1561</v>
      </c>
      <c r="C205" s="14" t="s">
        <v>1562</v>
      </c>
      <c r="G205" s="14" t="s">
        <v>1132</v>
      </c>
      <c r="H205" s="14" t="s">
        <v>455</v>
      </c>
      <c r="I205" s="14" t="s">
        <v>1563</v>
      </c>
    </row>
    <row r="206" spans="1:9" ht="58" hidden="1" x14ac:dyDescent="0.35">
      <c r="A206" s="18" t="s">
        <v>737</v>
      </c>
      <c r="B206" s="14" t="s">
        <v>953</v>
      </c>
      <c r="C206" s="14" t="s">
        <v>1564</v>
      </c>
      <c r="G206" s="14" t="s">
        <v>1132</v>
      </c>
      <c r="H206" s="14" t="s">
        <v>24</v>
      </c>
      <c r="I206" s="14" t="s">
        <v>1082</v>
      </c>
    </row>
    <row r="207" spans="1:9" hidden="1" x14ac:dyDescent="0.35">
      <c r="A207" s="18" t="s">
        <v>737</v>
      </c>
      <c r="B207" s="14" t="s">
        <v>1565</v>
      </c>
      <c r="C207" s="14" t="s">
        <v>1566</v>
      </c>
      <c r="G207" s="14" t="s">
        <v>1132</v>
      </c>
      <c r="H207" s="14" t="s">
        <v>24</v>
      </c>
      <c r="I207" s="14" t="s">
        <v>1567</v>
      </c>
    </row>
    <row r="208" spans="1:9" ht="43.5" hidden="1" x14ac:dyDescent="0.35">
      <c r="A208" s="18" t="s">
        <v>737</v>
      </c>
      <c r="B208" s="14" t="s">
        <v>1568</v>
      </c>
      <c r="C208" s="14" t="s">
        <v>1569</v>
      </c>
      <c r="G208" s="14" t="s">
        <v>1132</v>
      </c>
      <c r="H208" s="14" t="s">
        <v>455</v>
      </c>
      <c r="I208" s="14" t="s">
        <v>1570</v>
      </c>
    </row>
    <row r="209" spans="1:9" ht="43.5" hidden="1" x14ac:dyDescent="0.35">
      <c r="A209" s="18" t="s">
        <v>737</v>
      </c>
      <c r="B209" s="14" t="s">
        <v>754</v>
      </c>
      <c r="C209" s="14" t="s">
        <v>1571</v>
      </c>
      <c r="G209" s="14" t="s">
        <v>1132</v>
      </c>
      <c r="H209" s="14" t="s">
        <v>24</v>
      </c>
      <c r="I209" s="14" t="s">
        <v>1572</v>
      </c>
    </row>
    <row r="210" spans="1:9" ht="58" hidden="1" x14ac:dyDescent="0.35">
      <c r="A210" s="18" t="s">
        <v>737</v>
      </c>
      <c r="B210" s="14" t="s">
        <v>1573</v>
      </c>
      <c r="C210" s="14" t="s">
        <v>1574</v>
      </c>
      <c r="G210" s="14" t="s">
        <v>1132</v>
      </c>
      <c r="H210" s="14" t="s">
        <v>455</v>
      </c>
      <c r="I210" s="14" t="s">
        <v>1575</v>
      </c>
    </row>
    <row r="211" spans="1:9" ht="43.5" hidden="1" x14ac:dyDescent="0.35">
      <c r="A211" s="18" t="s">
        <v>737</v>
      </c>
      <c r="B211" s="14" t="s">
        <v>1576</v>
      </c>
      <c r="C211" s="14" t="s">
        <v>1577</v>
      </c>
      <c r="G211" s="14" t="s">
        <v>1132</v>
      </c>
      <c r="H211" s="14" t="s">
        <v>779</v>
      </c>
      <c r="I211" s="14" t="s">
        <v>1578</v>
      </c>
    </row>
    <row r="212" spans="1:9" ht="29" hidden="1" x14ac:dyDescent="0.35">
      <c r="A212" s="18" t="s">
        <v>737</v>
      </c>
      <c r="B212" s="14" t="s">
        <v>1579</v>
      </c>
      <c r="C212" s="14" t="s">
        <v>1580</v>
      </c>
      <c r="G212" s="14" t="s">
        <v>1132</v>
      </c>
      <c r="H212" s="14" t="s">
        <v>24</v>
      </c>
      <c r="I212" s="14" t="s">
        <v>1581</v>
      </c>
    </row>
    <row r="213" spans="1:9" ht="43.5" hidden="1" x14ac:dyDescent="0.35">
      <c r="A213" s="18" t="s">
        <v>737</v>
      </c>
      <c r="B213" s="14" t="s">
        <v>1582</v>
      </c>
      <c r="C213" s="14" t="s">
        <v>1583</v>
      </c>
      <c r="G213" s="14" t="s">
        <v>1132</v>
      </c>
      <c r="H213" s="14" t="s">
        <v>455</v>
      </c>
      <c r="I213" s="14" t="s">
        <v>1584</v>
      </c>
    </row>
    <row r="214" spans="1:9" ht="43.5" hidden="1" x14ac:dyDescent="0.35">
      <c r="A214" s="18" t="s">
        <v>737</v>
      </c>
      <c r="B214" s="14" t="s">
        <v>1585</v>
      </c>
      <c r="C214" s="14" t="s">
        <v>1586</v>
      </c>
      <c r="G214" s="14" t="s">
        <v>1132</v>
      </c>
      <c r="H214" s="14" t="s">
        <v>455</v>
      </c>
      <c r="I214" s="14" t="s">
        <v>1587</v>
      </c>
    </row>
    <row r="215" spans="1:9" ht="58" hidden="1" x14ac:dyDescent="0.35">
      <c r="A215" s="18" t="s">
        <v>737</v>
      </c>
      <c r="B215" s="14" t="s">
        <v>1588</v>
      </c>
      <c r="C215" s="14" t="s">
        <v>1589</v>
      </c>
      <c r="G215" s="14" t="s">
        <v>1132</v>
      </c>
      <c r="H215" s="14" t="s">
        <v>455</v>
      </c>
      <c r="I215" s="14" t="s">
        <v>1590</v>
      </c>
    </row>
    <row r="216" spans="1:9" ht="43.5" hidden="1" x14ac:dyDescent="0.35">
      <c r="A216" s="18" t="s">
        <v>737</v>
      </c>
      <c r="B216" s="14" t="s">
        <v>1591</v>
      </c>
      <c r="C216" s="14" t="s">
        <v>1592</v>
      </c>
      <c r="G216" s="14" t="s">
        <v>1132</v>
      </c>
      <c r="H216" s="14" t="s">
        <v>24</v>
      </c>
      <c r="I216" s="14" t="s">
        <v>1593</v>
      </c>
    </row>
    <row r="217" spans="1:9" ht="43.5" hidden="1" x14ac:dyDescent="0.35">
      <c r="A217" s="18" t="s">
        <v>737</v>
      </c>
      <c r="B217" s="14" t="s">
        <v>1594</v>
      </c>
      <c r="C217" s="14" t="s">
        <v>1595</v>
      </c>
      <c r="G217" s="14" t="s">
        <v>1132</v>
      </c>
      <c r="H217" s="14" t="s">
        <v>455</v>
      </c>
      <c r="I217" s="14" t="s">
        <v>1596</v>
      </c>
    </row>
    <row r="218" spans="1:9" ht="29" hidden="1" x14ac:dyDescent="0.35">
      <c r="A218" s="18" t="s">
        <v>737</v>
      </c>
      <c r="B218" s="14" t="s">
        <v>1597</v>
      </c>
      <c r="C218" s="14" t="s">
        <v>1598</v>
      </c>
      <c r="G218" s="14" t="s">
        <v>1132</v>
      </c>
      <c r="H218" s="14" t="s">
        <v>455</v>
      </c>
      <c r="I218" s="14" t="s">
        <v>1599</v>
      </c>
    </row>
    <row r="219" spans="1:9" ht="43.5" hidden="1" x14ac:dyDescent="0.35">
      <c r="A219" s="18" t="s">
        <v>737</v>
      </c>
      <c r="B219" s="14" t="s">
        <v>1600</v>
      </c>
      <c r="C219" s="14" t="s">
        <v>1601</v>
      </c>
      <c r="G219" s="14" t="s">
        <v>1132</v>
      </c>
      <c r="H219" s="14" t="s">
        <v>455</v>
      </c>
      <c r="I219" s="14" t="s">
        <v>1602</v>
      </c>
    </row>
    <row r="220" spans="1:9" ht="58" hidden="1" x14ac:dyDescent="0.35">
      <c r="A220" s="18" t="s">
        <v>737</v>
      </c>
      <c r="B220" s="14" t="s">
        <v>1603</v>
      </c>
      <c r="C220" s="14" t="s">
        <v>1604</v>
      </c>
      <c r="G220" s="14" t="s">
        <v>1132</v>
      </c>
      <c r="H220" s="14" t="s">
        <v>455</v>
      </c>
      <c r="I220" s="14" t="s">
        <v>1082</v>
      </c>
    </row>
    <row r="221" spans="1:9" ht="29" hidden="1" x14ac:dyDescent="0.35">
      <c r="A221" s="18" t="s">
        <v>737</v>
      </c>
      <c r="B221" s="14" t="s">
        <v>1605</v>
      </c>
      <c r="C221" s="14" t="s">
        <v>1606</v>
      </c>
      <c r="G221" s="14" t="s">
        <v>1132</v>
      </c>
      <c r="H221" s="14" t="s">
        <v>455</v>
      </c>
      <c r="I221" s="14" t="s">
        <v>1607</v>
      </c>
    </row>
    <row r="222" spans="1:9" ht="58" hidden="1" x14ac:dyDescent="0.35">
      <c r="A222" s="18" t="s">
        <v>737</v>
      </c>
      <c r="B222" s="14" t="s">
        <v>1608</v>
      </c>
      <c r="C222" s="14" t="s">
        <v>1609</v>
      </c>
      <c r="G222" s="14" t="s">
        <v>1132</v>
      </c>
      <c r="H222" s="14" t="s">
        <v>24</v>
      </c>
      <c r="I222" s="14" t="s">
        <v>1610</v>
      </c>
    </row>
    <row r="223" spans="1:9" ht="43.5" hidden="1" x14ac:dyDescent="0.35">
      <c r="A223" s="18" t="s">
        <v>737</v>
      </c>
      <c r="B223" s="14" t="s">
        <v>1611</v>
      </c>
      <c r="C223" s="14" t="s">
        <v>1612</v>
      </c>
      <c r="G223" s="14" t="s">
        <v>1132</v>
      </c>
      <c r="H223" s="14" t="s">
        <v>455</v>
      </c>
      <c r="I223" s="14" t="s">
        <v>1613</v>
      </c>
    </row>
    <row r="224" spans="1:9" ht="43.5" hidden="1" x14ac:dyDescent="0.35">
      <c r="A224" s="18" t="s">
        <v>737</v>
      </c>
      <c r="B224" s="14" t="s">
        <v>767</v>
      </c>
      <c r="C224" s="14" t="s">
        <v>1614</v>
      </c>
      <c r="G224" s="14" t="s">
        <v>1132</v>
      </c>
      <c r="H224" s="14" t="s">
        <v>455</v>
      </c>
      <c r="I224" s="14" t="s">
        <v>1615</v>
      </c>
    </row>
    <row r="225" spans="1:9" ht="43.5" hidden="1" x14ac:dyDescent="0.35">
      <c r="A225" s="18" t="s">
        <v>737</v>
      </c>
      <c r="B225" s="14" t="s">
        <v>1616</v>
      </c>
      <c r="C225" s="14" t="s">
        <v>1617</v>
      </c>
      <c r="G225" s="14" t="s">
        <v>1132</v>
      </c>
      <c r="H225" s="14" t="s">
        <v>455</v>
      </c>
      <c r="I225" s="14" t="s">
        <v>1618</v>
      </c>
    </row>
    <row r="226" spans="1:9" ht="29" hidden="1" x14ac:dyDescent="0.35">
      <c r="A226" s="18" t="s">
        <v>737</v>
      </c>
      <c r="B226" s="14" t="s">
        <v>1619</v>
      </c>
      <c r="C226" s="14" t="s">
        <v>1620</v>
      </c>
      <c r="G226" s="14" t="s">
        <v>1132</v>
      </c>
      <c r="H226" s="14" t="s">
        <v>24</v>
      </c>
      <c r="I226" s="14" t="s">
        <v>1621</v>
      </c>
    </row>
    <row r="227" spans="1:9" ht="72.5" hidden="1" x14ac:dyDescent="0.35">
      <c r="A227" s="18" t="s">
        <v>737</v>
      </c>
      <c r="B227" s="14" t="s">
        <v>1622</v>
      </c>
      <c r="C227" s="14" t="s">
        <v>1623</v>
      </c>
      <c r="G227" s="14" t="s">
        <v>1132</v>
      </c>
      <c r="H227" s="14" t="s">
        <v>24</v>
      </c>
      <c r="I227" s="14" t="s">
        <v>1624</v>
      </c>
    </row>
    <row r="228" spans="1:9" ht="58" hidden="1" x14ac:dyDescent="0.35">
      <c r="A228" s="18" t="s">
        <v>737</v>
      </c>
      <c r="B228" s="14" t="s">
        <v>1625</v>
      </c>
      <c r="C228" s="14" t="s">
        <v>1626</v>
      </c>
      <c r="G228" s="14" t="s">
        <v>1132</v>
      </c>
      <c r="H228" s="14" t="s">
        <v>455</v>
      </c>
      <c r="I228" s="14" t="s">
        <v>1627</v>
      </c>
    </row>
    <row r="229" spans="1:9" ht="43.5" hidden="1" x14ac:dyDescent="0.35">
      <c r="A229" s="18" t="s">
        <v>737</v>
      </c>
      <c r="B229" s="14" t="s">
        <v>1628</v>
      </c>
      <c r="C229" s="14" t="s">
        <v>1629</v>
      </c>
      <c r="G229" s="14" t="s">
        <v>1132</v>
      </c>
      <c r="H229" s="14" t="s">
        <v>455</v>
      </c>
      <c r="I229" s="14" t="s">
        <v>1630</v>
      </c>
    </row>
    <row r="230" spans="1:9" ht="29" hidden="1" x14ac:dyDescent="0.35">
      <c r="A230" s="18" t="s">
        <v>737</v>
      </c>
      <c r="B230" s="14" t="s">
        <v>1631</v>
      </c>
      <c r="C230" s="14" t="s">
        <v>1632</v>
      </c>
      <c r="G230" s="14" t="s">
        <v>1132</v>
      </c>
      <c r="H230" s="14" t="s">
        <v>455</v>
      </c>
      <c r="I230" s="14" t="s">
        <v>1105</v>
      </c>
    </row>
    <row r="231" spans="1:9" ht="58" hidden="1" x14ac:dyDescent="0.35">
      <c r="A231" s="18" t="s">
        <v>737</v>
      </c>
      <c r="B231" s="14" t="s">
        <v>1633</v>
      </c>
      <c r="C231" s="14" t="s">
        <v>1634</v>
      </c>
      <c r="G231" s="14" t="s">
        <v>1132</v>
      </c>
      <c r="H231" s="14" t="s">
        <v>455</v>
      </c>
      <c r="I231" s="14" t="s">
        <v>1635</v>
      </c>
    </row>
    <row r="232" spans="1:9" ht="72.5" hidden="1" x14ac:dyDescent="0.35">
      <c r="A232" s="18" t="s">
        <v>737</v>
      </c>
      <c r="B232" s="14" t="s">
        <v>1122</v>
      </c>
      <c r="C232" s="14" t="s">
        <v>1636</v>
      </c>
      <c r="G232" s="14" t="s">
        <v>1132</v>
      </c>
      <c r="H232" s="14" t="s">
        <v>455</v>
      </c>
      <c r="I232" s="14" t="s">
        <v>833</v>
      </c>
    </row>
    <row r="233" spans="1:9" ht="58" hidden="1" x14ac:dyDescent="0.35">
      <c r="A233" s="18" t="s">
        <v>737</v>
      </c>
      <c r="B233" s="14" t="s">
        <v>763</v>
      </c>
      <c r="C233" s="14" t="s">
        <v>1637</v>
      </c>
      <c r="G233" s="14" t="s">
        <v>1132</v>
      </c>
      <c r="H233" s="14" t="s">
        <v>24</v>
      </c>
      <c r="I233" s="14" t="s">
        <v>1638</v>
      </c>
    </row>
    <row r="234" spans="1:9" ht="29" hidden="1" x14ac:dyDescent="0.35">
      <c r="A234" s="18" t="s">
        <v>737</v>
      </c>
      <c r="B234" s="14" t="s">
        <v>1639</v>
      </c>
      <c r="C234" s="14" t="s">
        <v>1640</v>
      </c>
      <c r="G234" s="14" t="s">
        <v>1132</v>
      </c>
      <c r="H234" s="14" t="s">
        <v>24</v>
      </c>
      <c r="I234" s="14" t="s">
        <v>1639</v>
      </c>
    </row>
    <row r="235" spans="1:9" ht="58" hidden="1" x14ac:dyDescent="0.35">
      <c r="A235" s="18" t="s">
        <v>737</v>
      </c>
      <c r="B235" s="14" t="s">
        <v>1641</v>
      </c>
      <c r="C235" s="14" t="s">
        <v>1642</v>
      </c>
      <c r="G235" s="14" t="s">
        <v>1132</v>
      </c>
      <c r="H235" s="14" t="s">
        <v>24</v>
      </c>
      <c r="I235" s="14" t="s">
        <v>1643</v>
      </c>
    </row>
    <row r="236" spans="1:9" ht="29" hidden="1" x14ac:dyDescent="0.35">
      <c r="A236" s="18" t="s">
        <v>737</v>
      </c>
      <c r="B236" s="14" t="s">
        <v>1644</v>
      </c>
      <c r="C236" s="14" t="s">
        <v>1645</v>
      </c>
      <c r="G236" s="14" t="s">
        <v>1132</v>
      </c>
      <c r="H236" s="14" t="s">
        <v>455</v>
      </c>
      <c r="I236" s="14" t="s">
        <v>1646</v>
      </c>
    </row>
    <row r="237" spans="1:9" ht="29" hidden="1" x14ac:dyDescent="0.35">
      <c r="A237" s="18" t="s">
        <v>737</v>
      </c>
      <c r="B237" s="14" t="s">
        <v>1647</v>
      </c>
      <c r="C237" s="14" t="s">
        <v>1648</v>
      </c>
      <c r="G237" s="14" t="s">
        <v>1132</v>
      </c>
      <c r="H237" s="14" t="s">
        <v>455</v>
      </c>
      <c r="I237" s="14" t="s">
        <v>1649</v>
      </c>
    </row>
    <row r="238" spans="1:9" ht="29" hidden="1" x14ac:dyDescent="0.35">
      <c r="A238" s="18" t="s">
        <v>737</v>
      </c>
      <c r="B238" s="14" t="s">
        <v>1650</v>
      </c>
      <c r="C238" s="14" t="s">
        <v>1651</v>
      </c>
      <c r="G238" s="14" t="s">
        <v>1132</v>
      </c>
      <c r="H238" s="14" t="s">
        <v>455</v>
      </c>
      <c r="I238" s="14" t="s">
        <v>1652</v>
      </c>
    </row>
    <row r="239" spans="1:9" ht="72.5" hidden="1" x14ac:dyDescent="0.35">
      <c r="A239" s="18" t="s">
        <v>737</v>
      </c>
      <c r="B239" s="14" t="s">
        <v>1653</v>
      </c>
      <c r="C239" s="14" t="s">
        <v>1654</v>
      </c>
      <c r="G239" s="14" t="s">
        <v>1132</v>
      </c>
      <c r="H239" s="14" t="s">
        <v>24</v>
      </c>
      <c r="I239" s="14" t="s">
        <v>1653</v>
      </c>
    </row>
    <row r="240" spans="1:9" ht="43.5" hidden="1" x14ac:dyDescent="0.35">
      <c r="A240" s="18" t="s">
        <v>737</v>
      </c>
      <c r="B240" s="14" t="s">
        <v>1655</v>
      </c>
      <c r="C240" s="14" t="s">
        <v>1656</v>
      </c>
      <c r="G240" s="14" t="s">
        <v>1132</v>
      </c>
      <c r="H240" s="14" t="s">
        <v>455</v>
      </c>
      <c r="I240" s="14" t="s">
        <v>1657</v>
      </c>
    </row>
    <row r="241" spans="1:9" ht="58" hidden="1" x14ac:dyDescent="0.35">
      <c r="A241" s="18" t="s">
        <v>737</v>
      </c>
      <c r="B241" s="14" t="s">
        <v>1658</v>
      </c>
      <c r="C241" s="14" t="s">
        <v>1659</v>
      </c>
      <c r="G241" s="14" t="s">
        <v>1132</v>
      </c>
      <c r="H241" s="14" t="s">
        <v>455</v>
      </c>
      <c r="I241" s="14" t="s">
        <v>1660</v>
      </c>
    </row>
    <row r="242" spans="1:9" ht="58" hidden="1" x14ac:dyDescent="0.35">
      <c r="A242" s="18" t="s">
        <v>737</v>
      </c>
      <c r="B242" s="14" t="s">
        <v>1661</v>
      </c>
      <c r="C242" s="14" t="s">
        <v>1662</v>
      </c>
      <c r="G242" s="14" t="s">
        <v>1132</v>
      </c>
      <c r="H242" s="14" t="s">
        <v>455</v>
      </c>
      <c r="I242" s="14" t="s">
        <v>1663</v>
      </c>
    </row>
    <row r="243" spans="1:9" ht="43.5" hidden="1" x14ac:dyDescent="0.35">
      <c r="A243" s="18" t="s">
        <v>737</v>
      </c>
      <c r="B243" s="14" t="s">
        <v>1664</v>
      </c>
      <c r="C243" s="14" t="s">
        <v>1665</v>
      </c>
      <c r="G243" s="14" t="s">
        <v>1132</v>
      </c>
      <c r="H243" s="14" t="s">
        <v>455</v>
      </c>
      <c r="I243" s="14" t="s">
        <v>1666</v>
      </c>
    </row>
    <row r="244" spans="1:9" ht="116" hidden="1" x14ac:dyDescent="0.35">
      <c r="A244" s="18" t="s">
        <v>737</v>
      </c>
      <c r="B244" s="14" t="s">
        <v>1667</v>
      </c>
      <c r="C244" s="14" t="s">
        <v>1668</v>
      </c>
      <c r="G244" s="14" t="s">
        <v>1132</v>
      </c>
      <c r="H244" s="14" t="s">
        <v>455</v>
      </c>
      <c r="I244" s="14" t="s">
        <v>1669</v>
      </c>
    </row>
    <row r="245" spans="1:9" ht="43.5" hidden="1" x14ac:dyDescent="0.35">
      <c r="A245" s="18" t="s">
        <v>737</v>
      </c>
      <c r="B245" s="14" t="s">
        <v>1670</v>
      </c>
      <c r="C245" s="14" t="s">
        <v>1671</v>
      </c>
      <c r="G245" s="14" t="s">
        <v>1132</v>
      </c>
      <c r="H245" s="14" t="s">
        <v>455</v>
      </c>
      <c r="I245" s="14" t="s">
        <v>1672</v>
      </c>
    </row>
    <row r="246" spans="1:9" ht="29" hidden="1" x14ac:dyDescent="0.35">
      <c r="A246" s="18" t="s">
        <v>737</v>
      </c>
      <c r="B246" s="14" t="s">
        <v>1673</v>
      </c>
      <c r="C246" s="14" t="s">
        <v>1674</v>
      </c>
      <c r="G246" s="14" t="s">
        <v>1132</v>
      </c>
      <c r="H246" s="14" t="s">
        <v>455</v>
      </c>
      <c r="I246" s="14" t="s">
        <v>1675</v>
      </c>
    </row>
    <row r="247" spans="1:9" ht="29" hidden="1" x14ac:dyDescent="0.35">
      <c r="A247" s="18" t="s">
        <v>737</v>
      </c>
      <c r="B247" s="14" t="s">
        <v>1676</v>
      </c>
      <c r="C247" s="14" t="s">
        <v>1677</v>
      </c>
      <c r="G247" s="14" t="s">
        <v>1132</v>
      </c>
      <c r="H247" s="14" t="s">
        <v>455</v>
      </c>
      <c r="I247" s="14" t="s">
        <v>1678</v>
      </c>
    </row>
    <row r="248" spans="1:9" ht="43.5" hidden="1" x14ac:dyDescent="0.35">
      <c r="A248" s="18" t="s">
        <v>737</v>
      </c>
      <c r="B248" s="14" t="s">
        <v>1679</v>
      </c>
      <c r="C248" s="14" t="s">
        <v>1680</v>
      </c>
      <c r="G248" s="14" t="s">
        <v>1132</v>
      </c>
      <c r="H248" s="14" t="s">
        <v>455</v>
      </c>
      <c r="I248" s="14" t="s">
        <v>1681</v>
      </c>
    </row>
    <row r="249" spans="1:9" ht="72.5" hidden="1" x14ac:dyDescent="0.35">
      <c r="A249" s="18" t="s">
        <v>737</v>
      </c>
      <c r="B249" s="14" t="s">
        <v>1682</v>
      </c>
      <c r="C249" s="14" t="s">
        <v>1683</v>
      </c>
      <c r="G249" s="14" t="s">
        <v>1132</v>
      </c>
      <c r="H249" s="14" t="s">
        <v>455</v>
      </c>
      <c r="I249" s="14" t="s">
        <v>1682</v>
      </c>
    </row>
    <row r="250" spans="1:9" ht="58" hidden="1" x14ac:dyDescent="0.35">
      <c r="A250" s="18" t="s">
        <v>737</v>
      </c>
      <c r="B250" s="14" t="s">
        <v>1684</v>
      </c>
      <c r="C250" s="14" t="s">
        <v>1685</v>
      </c>
      <c r="G250" s="14" t="s">
        <v>1132</v>
      </c>
      <c r="H250" s="14" t="s">
        <v>24</v>
      </c>
      <c r="I250" s="14" t="s">
        <v>1686</v>
      </c>
    </row>
    <row r="251" spans="1:9" ht="58" hidden="1" x14ac:dyDescent="0.35">
      <c r="A251" s="18" t="s">
        <v>737</v>
      </c>
      <c r="B251" s="14" t="s">
        <v>1687</v>
      </c>
      <c r="C251" s="14" t="s">
        <v>1688</v>
      </c>
      <c r="G251" s="14" t="s">
        <v>1132</v>
      </c>
      <c r="H251" s="14" t="s">
        <v>455</v>
      </c>
      <c r="I251" s="14" t="s">
        <v>1689</v>
      </c>
    </row>
    <row r="252" spans="1:9" ht="43.5" x14ac:dyDescent="0.35">
      <c r="A252" s="18" t="s">
        <v>737</v>
      </c>
      <c r="B252" s="14" t="s">
        <v>134</v>
      </c>
      <c r="C252" s="14" t="s">
        <v>1690</v>
      </c>
      <c r="D252" s="14">
        <v>1</v>
      </c>
      <c r="E252" s="14" t="s">
        <v>1827</v>
      </c>
      <c r="F252" s="14" t="s">
        <v>19</v>
      </c>
      <c r="G252" s="14" t="s">
        <v>1210</v>
      </c>
      <c r="H252" s="14" t="s">
        <v>749</v>
      </c>
      <c r="I252" s="14" t="s">
        <v>137</v>
      </c>
    </row>
    <row r="253" spans="1:9" ht="43.5" x14ac:dyDescent="0.35">
      <c r="A253" s="18" t="s">
        <v>737</v>
      </c>
      <c r="B253" s="14" t="s">
        <v>1047</v>
      </c>
      <c r="C253" s="14" t="s">
        <v>1691</v>
      </c>
      <c r="D253" s="14">
        <v>1</v>
      </c>
      <c r="E253" s="14" t="s">
        <v>1828</v>
      </c>
      <c r="F253" s="14" t="s">
        <v>1829</v>
      </c>
      <c r="G253" s="14" t="s">
        <v>1210</v>
      </c>
      <c r="H253" s="14" t="s">
        <v>818</v>
      </c>
      <c r="I253" s="14" t="s">
        <v>1692</v>
      </c>
    </row>
    <row r="254" spans="1:9" ht="58" x14ac:dyDescent="0.35">
      <c r="A254" s="18" t="s">
        <v>737</v>
      </c>
      <c r="B254" s="14" t="s">
        <v>807</v>
      </c>
      <c r="C254" s="14" t="s">
        <v>1693</v>
      </c>
      <c r="D254" s="14">
        <v>0</v>
      </c>
      <c r="F254" s="14" t="s">
        <v>19</v>
      </c>
      <c r="G254" s="14" t="s">
        <v>1210</v>
      </c>
      <c r="H254" s="14" t="s">
        <v>749</v>
      </c>
      <c r="I254" s="14" t="s">
        <v>809</v>
      </c>
    </row>
    <row r="255" spans="1:9" ht="29" x14ac:dyDescent="0.35">
      <c r="A255" s="18" t="s">
        <v>737</v>
      </c>
      <c r="B255" s="14" t="s">
        <v>1263</v>
      </c>
      <c r="C255" s="14" t="s">
        <v>1694</v>
      </c>
      <c r="D255" s="14">
        <v>0</v>
      </c>
      <c r="E255" s="14" t="s">
        <v>1830</v>
      </c>
      <c r="F255" s="14" t="s">
        <v>13</v>
      </c>
      <c r="G255" s="14" t="s">
        <v>1210</v>
      </c>
      <c r="H255" s="14" t="s">
        <v>749</v>
      </c>
      <c r="I255" s="14" t="s">
        <v>1695</v>
      </c>
    </row>
    <row r="256" spans="1:9" ht="58" x14ac:dyDescent="0.35">
      <c r="A256" s="18" t="s">
        <v>737</v>
      </c>
      <c r="B256" s="14" t="s">
        <v>1696</v>
      </c>
      <c r="C256" s="14" t="s">
        <v>1697</v>
      </c>
      <c r="D256" s="14">
        <v>0</v>
      </c>
      <c r="E256" s="14" t="s">
        <v>1831</v>
      </c>
      <c r="F256" s="14" t="s">
        <v>13</v>
      </c>
      <c r="G256" s="14" t="s">
        <v>1210</v>
      </c>
      <c r="H256" s="14" t="s">
        <v>749</v>
      </c>
      <c r="I256" s="14" t="s">
        <v>1698</v>
      </c>
    </row>
    <row r="257" spans="1:10" ht="58" x14ac:dyDescent="0.35">
      <c r="A257" s="18" t="s">
        <v>737</v>
      </c>
      <c r="B257" s="14" t="s">
        <v>1699</v>
      </c>
      <c r="C257" s="14" t="s">
        <v>1700</v>
      </c>
      <c r="D257" s="14">
        <v>1</v>
      </c>
      <c r="E257" s="14" t="s">
        <v>1833</v>
      </c>
      <c r="F257" s="14" t="s">
        <v>1832</v>
      </c>
      <c r="G257" s="14" t="s">
        <v>1210</v>
      </c>
      <c r="H257" s="14" t="s">
        <v>818</v>
      </c>
      <c r="I257" s="14" t="s">
        <v>1701</v>
      </c>
    </row>
    <row r="258" spans="1:10" ht="101.5" x14ac:dyDescent="0.35">
      <c r="A258" s="18" t="s">
        <v>737</v>
      </c>
      <c r="B258" s="14" t="s">
        <v>346</v>
      </c>
      <c r="C258" s="14" t="s">
        <v>1702</v>
      </c>
      <c r="D258" s="14">
        <v>1</v>
      </c>
      <c r="E258" s="14" t="s">
        <v>1834</v>
      </c>
      <c r="F258" s="14" t="s">
        <v>1810</v>
      </c>
      <c r="G258" s="14" t="s">
        <v>1210</v>
      </c>
      <c r="H258" s="14" t="s">
        <v>749</v>
      </c>
      <c r="I258" s="14" t="s">
        <v>1703</v>
      </c>
    </row>
    <row r="259" spans="1:10" ht="43.5" x14ac:dyDescent="0.35">
      <c r="A259" s="18" t="s">
        <v>737</v>
      </c>
      <c r="B259" s="14" t="s">
        <v>1704</v>
      </c>
      <c r="C259" s="14" t="s">
        <v>1705</v>
      </c>
      <c r="D259" s="14">
        <v>1</v>
      </c>
      <c r="E259" s="14" t="s">
        <v>1835</v>
      </c>
      <c r="F259" s="14" t="s">
        <v>1836</v>
      </c>
      <c r="G259" s="14" t="s">
        <v>1210</v>
      </c>
      <c r="H259" s="14" t="s">
        <v>794</v>
      </c>
      <c r="I259" s="14" t="s">
        <v>1706</v>
      </c>
    </row>
    <row r="260" spans="1:10" ht="43.5" x14ac:dyDescent="0.35">
      <c r="A260" s="18" t="s">
        <v>737</v>
      </c>
      <c r="B260" s="14" t="s">
        <v>1707</v>
      </c>
      <c r="C260" s="14" t="s">
        <v>1708</v>
      </c>
      <c r="D260" s="14">
        <v>1</v>
      </c>
      <c r="F260" s="14" t="s">
        <v>1837</v>
      </c>
      <c r="G260" s="14" t="s">
        <v>1210</v>
      </c>
      <c r="H260" s="14" t="s">
        <v>1709</v>
      </c>
      <c r="I260" s="14" t="s">
        <v>1710</v>
      </c>
    </row>
    <row r="261" spans="1:10" ht="29" x14ac:dyDescent="0.35">
      <c r="A261" s="18" t="s">
        <v>737</v>
      </c>
      <c r="B261" s="14" t="s">
        <v>301</v>
      </c>
      <c r="C261" s="14" t="s">
        <v>1711</v>
      </c>
      <c r="D261" s="14">
        <v>1</v>
      </c>
      <c r="F261" s="14" t="s">
        <v>1810</v>
      </c>
      <c r="G261" s="14" t="s">
        <v>1210</v>
      </c>
      <c r="H261" s="14" t="s">
        <v>749</v>
      </c>
      <c r="I261" s="14" t="s">
        <v>304</v>
      </c>
    </row>
    <row r="262" spans="1:10" ht="29" x14ac:dyDescent="0.35">
      <c r="A262" s="18" t="s">
        <v>737</v>
      </c>
      <c r="B262" s="14" t="s">
        <v>502</v>
      </c>
      <c r="C262" s="14" t="s">
        <v>1712</v>
      </c>
      <c r="D262" s="14">
        <v>1</v>
      </c>
      <c r="E262" s="14" t="s">
        <v>1838</v>
      </c>
      <c r="F262" s="14" t="s">
        <v>40</v>
      </c>
      <c r="G262" s="14" t="s">
        <v>1210</v>
      </c>
      <c r="H262" s="14" t="s">
        <v>749</v>
      </c>
      <c r="I262" s="14" t="s">
        <v>1713</v>
      </c>
    </row>
    <row r="263" spans="1:10" ht="43.5" x14ac:dyDescent="0.35">
      <c r="A263" s="18" t="s">
        <v>737</v>
      </c>
      <c r="B263" s="14" t="s">
        <v>1714</v>
      </c>
      <c r="C263" s="14" t="s">
        <v>1715</v>
      </c>
      <c r="D263" s="14">
        <v>1</v>
      </c>
      <c r="F263" s="14" t="s">
        <v>745</v>
      </c>
      <c r="G263" s="14" t="s">
        <v>1210</v>
      </c>
      <c r="H263" s="14" t="s">
        <v>794</v>
      </c>
      <c r="I263" s="14" t="s">
        <v>1716</v>
      </c>
    </row>
    <row r="264" spans="1:10" ht="87" x14ac:dyDescent="0.35">
      <c r="A264" s="18" t="s">
        <v>737</v>
      </c>
      <c r="B264" s="14" t="s">
        <v>791</v>
      </c>
      <c r="C264" s="14" t="s">
        <v>1717</v>
      </c>
      <c r="D264" s="14">
        <v>1</v>
      </c>
      <c r="F264" s="14" t="s">
        <v>745</v>
      </c>
      <c r="G264" s="14" t="s">
        <v>1210</v>
      </c>
      <c r="H264" s="14" t="s">
        <v>794</v>
      </c>
      <c r="I264" s="14" t="s">
        <v>1718</v>
      </c>
    </row>
    <row r="265" spans="1:10" ht="43.5" x14ac:dyDescent="0.35">
      <c r="A265" s="18" t="s">
        <v>737</v>
      </c>
      <c r="B265" s="14" t="s">
        <v>1719</v>
      </c>
      <c r="C265" s="14" t="s">
        <v>1720</v>
      </c>
      <c r="D265" s="14">
        <v>0</v>
      </c>
      <c r="F265" s="14" t="s">
        <v>84</v>
      </c>
      <c r="G265" s="14" t="s">
        <v>1210</v>
      </c>
      <c r="H265" s="14" t="s">
        <v>794</v>
      </c>
      <c r="I265" s="14" t="s">
        <v>1721</v>
      </c>
    </row>
    <row r="266" spans="1:10" ht="43.5" x14ac:dyDescent="0.35">
      <c r="A266" s="18" t="s">
        <v>737</v>
      </c>
      <c r="B266" s="14" t="s">
        <v>1722</v>
      </c>
      <c r="C266" s="14" t="s">
        <v>1723</v>
      </c>
      <c r="D266" s="14">
        <v>1</v>
      </c>
      <c r="E266" s="14" t="s">
        <v>1839</v>
      </c>
      <c r="F266" s="14" t="s">
        <v>745</v>
      </c>
      <c r="G266" s="14" t="s">
        <v>1210</v>
      </c>
      <c r="H266" s="14" t="s">
        <v>794</v>
      </c>
      <c r="I266" s="14" t="s">
        <v>1724</v>
      </c>
    </row>
    <row r="267" spans="1:10" ht="58" x14ac:dyDescent="0.35">
      <c r="A267" s="18" t="s">
        <v>737</v>
      </c>
      <c r="B267" s="14" t="s">
        <v>842</v>
      </c>
      <c r="C267" s="14" t="s">
        <v>1725</v>
      </c>
      <c r="D267" s="14">
        <v>1</v>
      </c>
      <c r="F267" s="14" t="s">
        <v>745</v>
      </c>
      <c r="G267" s="14" t="s">
        <v>1210</v>
      </c>
      <c r="H267" s="14" t="s">
        <v>794</v>
      </c>
      <c r="I267" s="14" t="s">
        <v>1726</v>
      </c>
    </row>
    <row r="268" spans="1:10" ht="29" x14ac:dyDescent="0.35">
      <c r="A268" s="18" t="s">
        <v>737</v>
      </c>
      <c r="B268" s="14" t="s">
        <v>1727</v>
      </c>
      <c r="C268" s="14" t="s">
        <v>1728</v>
      </c>
      <c r="D268" s="14">
        <v>1</v>
      </c>
      <c r="E268" s="14" t="s">
        <v>1840</v>
      </c>
      <c r="F268" s="14" t="s">
        <v>1836</v>
      </c>
      <c r="G268" s="14" t="s">
        <v>1210</v>
      </c>
      <c r="H268" s="14" t="s">
        <v>794</v>
      </c>
      <c r="I268" s="14" t="s">
        <v>1729</v>
      </c>
    </row>
    <row r="269" spans="1:10" ht="87" x14ac:dyDescent="0.35">
      <c r="A269" s="18" t="s">
        <v>737</v>
      </c>
      <c r="B269" s="14" t="s">
        <v>185</v>
      </c>
      <c r="C269" s="14" t="s">
        <v>1730</v>
      </c>
      <c r="D269" s="14">
        <v>1</v>
      </c>
      <c r="E269" s="14" t="s">
        <v>1841</v>
      </c>
      <c r="F269" s="14" t="s">
        <v>40</v>
      </c>
      <c r="G269" s="14" t="s">
        <v>1210</v>
      </c>
      <c r="H269" s="14" t="s">
        <v>749</v>
      </c>
      <c r="I269" s="14" t="s">
        <v>1731</v>
      </c>
    </row>
    <row r="270" spans="1:10" ht="58" x14ac:dyDescent="0.35">
      <c r="A270" s="18" t="s">
        <v>737</v>
      </c>
      <c r="B270" s="14" t="s">
        <v>336</v>
      </c>
      <c r="C270" s="14" t="s">
        <v>1732</v>
      </c>
      <c r="D270" s="14">
        <v>0</v>
      </c>
      <c r="F270" s="14" t="s">
        <v>140</v>
      </c>
      <c r="G270" s="14" t="s">
        <v>1210</v>
      </c>
      <c r="H270" s="14" t="s">
        <v>749</v>
      </c>
      <c r="I270" s="14" t="s">
        <v>1733</v>
      </c>
    </row>
    <row r="271" spans="1:10" ht="72.5" x14ac:dyDescent="0.35">
      <c r="A271" s="18" t="s">
        <v>737</v>
      </c>
      <c r="B271" s="14" t="s">
        <v>963</v>
      </c>
      <c r="C271" s="14" t="s">
        <v>1734</v>
      </c>
      <c r="D271" s="14">
        <v>1</v>
      </c>
      <c r="F271" s="14" t="s">
        <v>745</v>
      </c>
      <c r="G271" s="14" t="s">
        <v>1210</v>
      </c>
      <c r="H271" s="14" t="s">
        <v>794</v>
      </c>
      <c r="I271" s="14" t="s">
        <v>966</v>
      </c>
      <c r="J271" s="22" t="s">
        <v>1842</v>
      </c>
    </row>
    <row r="272" spans="1:10" ht="29" x14ac:dyDescent="0.35">
      <c r="A272" s="18" t="s">
        <v>737</v>
      </c>
      <c r="B272" s="14" t="s">
        <v>142</v>
      </c>
      <c r="C272" s="14" t="s">
        <v>1735</v>
      </c>
      <c r="D272" s="14">
        <v>0</v>
      </c>
      <c r="F272" s="23" t="s">
        <v>1811</v>
      </c>
      <c r="G272" s="14" t="s">
        <v>1210</v>
      </c>
      <c r="H272" s="14" t="s">
        <v>749</v>
      </c>
      <c r="I272" s="14" t="s">
        <v>1736</v>
      </c>
    </row>
    <row r="273" spans="1:9" ht="72.5" x14ac:dyDescent="0.35">
      <c r="A273" s="18" t="s">
        <v>737</v>
      </c>
      <c r="B273" s="14" t="s">
        <v>1737</v>
      </c>
      <c r="C273" s="23" t="s">
        <v>1738</v>
      </c>
      <c r="D273" s="14">
        <v>1</v>
      </c>
      <c r="E273" s="23" t="s">
        <v>1843</v>
      </c>
      <c r="F273" s="23" t="s">
        <v>1844</v>
      </c>
      <c r="G273" s="14" t="s">
        <v>1210</v>
      </c>
      <c r="H273" s="14" t="s">
        <v>818</v>
      </c>
      <c r="I273" s="14" t="s">
        <v>1739</v>
      </c>
    </row>
    <row r="274" spans="1:9" ht="43.5" x14ac:dyDescent="0.35">
      <c r="A274" s="18" t="s">
        <v>737</v>
      </c>
      <c r="B274" s="14" t="s">
        <v>1740</v>
      </c>
      <c r="C274" s="14" t="s">
        <v>1741</v>
      </c>
      <c r="D274" s="14">
        <v>1</v>
      </c>
      <c r="F274" s="23" t="s">
        <v>745</v>
      </c>
      <c r="G274" s="14" t="s">
        <v>1210</v>
      </c>
      <c r="H274" s="14" t="s">
        <v>794</v>
      </c>
      <c r="I274" s="14" t="s">
        <v>1742</v>
      </c>
    </row>
    <row r="275" spans="1:9" ht="72.5" x14ac:dyDescent="0.35">
      <c r="A275" s="18" t="s">
        <v>737</v>
      </c>
      <c r="B275" s="14" t="s">
        <v>1743</v>
      </c>
      <c r="C275" s="14" t="s">
        <v>1744</v>
      </c>
      <c r="D275" s="14">
        <v>0</v>
      </c>
      <c r="F275" s="23" t="s">
        <v>740</v>
      </c>
      <c r="G275" s="14" t="s">
        <v>1210</v>
      </c>
      <c r="H275" s="14" t="s">
        <v>794</v>
      </c>
      <c r="I275" s="14" t="s">
        <v>1745</v>
      </c>
    </row>
    <row r="276" spans="1:9" ht="29" x14ac:dyDescent="0.35">
      <c r="A276" s="18" t="s">
        <v>737</v>
      </c>
      <c r="B276" s="14" t="s">
        <v>269</v>
      </c>
      <c r="C276" s="14" t="s">
        <v>1746</v>
      </c>
      <c r="D276" s="14">
        <v>1</v>
      </c>
      <c r="F276" s="23" t="s">
        <v>1845</v>
      </c>
      <c r="G276" s="14" t="s">
        <v>1210</v>
      </c>
      <c r="H276" s="14" t="s">
        <v>749</v>
      </c>
      <c r="I276" s="14" t="s">
        <v>1747</v>
      </c>
    </row>
    <row r="277" spans="1:9" ht="29" x14ac:dyDescent="0.35">
      <c r="A277" s="18" t="s">
        <v>737</v>
      </c>
      <c r="B277" s="14" t="s">
        <v>82</v>
      </c>
      <c r="C277" s="14" t="s">
        <v>785</v>
      </c>
      <c r="D277" s="14">
        <v>0</v>
      </c>
      <c r="F277" s="23" t="s">
        <v>77</v>
      </c>
      <c r="G277" s="14" t="s">
        <v>1210</v>
      </c>
      <c r="H277" s="14" t="s">
        <v>749</v>
      </c>
      <c r="I277" s="14" t="s">
        <v>786</v>
      </c>
    </row>
    <row r="278" spans="1:9" ht="58" x14ac:dyDescent="0.35">
      <c r="A278" s="18" t="s">
        <v>737</v>
      </c>
      <c r="B278" s="14" t="s">
        <v>1748</v>
      </c>
      <c r="C278" s="14" t="s">
        <v>1749</v>
      </c>
      <c r="D278" s="14">
        <v>1</v>
      </c>
      <c r="F278" s="23" t="s">
        <v>1803</v>
      </c>
      <c r="G278" s="14" t="s">
        <v>1210</v>
      </c>
      <c r="H278" s="14" t="s">
        <v>818</v>
      </c>
      <c r="I278" s="14" t="s">
        <v>1750</v>
      </c>
    </row>
    <row r="279" spans="1:9" ht="58" x14ac:dyDescent="0.35">
      <c r="A279" s="18" t="s">
        <v>737</v>
      </c>
      <c r="B279" s="14" t="s">
        <v>1751</v>
      </c>
      <c r="C279" s="14" t="s">
        <v>1752</v>
      </c>
      <c r="D279" s="14">
        <v>1</v>
      </c>
      <c r="E279" s="23" t="s">
        <v>1846</v>
      </c>
      <c r="F279" s="23" t="s">
        <v>1803</v>
      </c>
      <c r="G279" s="14" t="s">
        <v>1210</v>
      </c>
      <c r="H279" s="14" t="s">
        <v>818</v>
      </c>
      <c r="I279" s="14" t="s">
        <v>1753</v>
      </c>
    </row>
    <row r="280" spans="1:9" ht="43.5" x14ac:dyDescent="0.35">
      <c r="A280" s="18" t="s">
        <v>737</v>
      </c>
      <c r="B280" s="14" t="s">
        <v>1754</v>
      </c>
      <c r="C280" s="14" t="s">
        <v>1755</v>
      </c>
      <c r="D280" s="14">
        <v>1</v>
      </c>
      <c r="F280" s="23" t="s">
        <v>1803</v>
      </c>
      <c r="G280" s="14" t="s">
        <v>1210</v>
      </c>
      <c r="H280" s="14" t="s">
        <v>818</v>
      </c>
      <c r="I280" s="14" t="s">
        <v>1279</v>
      </c>
    </row>
    <row r="281" spans="1:9" ht="72.5" x14ac:dyDescent="0.35">
      <c r="A281" s="18" t="s">
        <v>737</v>
      </c>
      <c r="B281" s="14" t="s">
        <v>1756</v>
      </c>
      <c r="C281" s="23" t="s">
        <v>1757</v>
      </c>
      <c r="D281" s="14">
        <v>1</v>
      </c>
      <c r="F281" s="23" t="s">
        <v>1847</v>
      </c>
      <c r="G281" s="14" t="s">
        <v>1210</v>
      </c>
      <c r="H281" s="14" t="s">
        <v>1758</v>
      </c>
      <c r="I281" s="14" t="s">
        <v>1759</v>
      </c>
    </row>
    <row r="282" spans="1:9" ht="29" x14ac:dyDescent="0.35">
      <c r="A282" s="18" t="s">
        <v>737</v>
      </c>
      <c r="B282" s="14" t="s">
        <v>204</v>
      </c>
      <c r="C282" s="14" t="s">
        <v>1760</v>
      </c>
      <c r="D282" s="14">
        <v>0</v>
      </c>
      <c r="F282" s="23" t="s">
        <v>1848</v>
      </c>
      <c r="G282" s="14" t="s">
        <v>1210</v>
      </c>
      <c r="H282" s="14" t="s">
        <v>749</v>
      </c>
      <c r="I282" s="14" t="s">
        <v>1761</v>
      </c>
    </row>
    <row r="283" spans="1:9" ht="87" x14ac:dyDescent="0.35">
      <c r="A283" s="18" t="s">
        <v>737</v>
      </c>
      <c r="B283" s="14" t="s">
        <v>1762</v>
      </c>
      <c r="C283" s="14" t="s">
        <v>1763</v>
      </c>
      <c r="D283" s="14">
        <v>1</v>
      </c>
      <c r="F283" s="23" t="s">
        <v>1803</v>
      </c>
      <c r="G283" s="14" t="s">
        <v>1210</v>
      </c>
      <c r="H283" s="14" t="s">
        <v>818</v>
      </c>
      <c r="I283" s="14" t="s">
        <v>1764</v>
      </c>
    </row>
    <row r="284" spans="1:9" ht="29" x14ac:dyDescent="0.35">
      <c r="A284" s="18" t="s">
        <v>737</v>
      </c>
      <c r="B284" s="14" t="s">
        <v>1765</v>
      </c>
      <c r="C284" s="14" t="s">
        <v>1766</v>
      </c>
      <c r="D284" s="14">
        <v>0</v>
      </c>
      <c r="F284" s="23" t="s">
        <v>13</v>
      </c>
      <c r="G284" s="14" t="s">
        <v>1210</v>
      </c>
      <c r="H284" s="14" t="s">
        <v>749</v>
      </c>
      <c r="I284" s="14" t="s">
        <v>1767</v>
      </c>
    </row>
    <row r="285" spans="1:9" ht="29" x14ac:dyDescent="0.35">
      <c r="A285" s="18" t="s">
        <v>737</v>
      </c>
      <c r="B285" s="14" t="s">
        <v>1768</v>
      </c>
      <c r="C285" s="14" t="s">
        <v>1769</v>
      </c>
      <c r="D285" s="14">
        <v>0</v>
      </c>
      <c r="F285" s="23" t="s">
        <v>740</v>
      </c>
      <c r="G285" s="14" t="s">
        <v>1210</v>
      </c>
      <c r="H285" s="14" t="s">
        <v>794</v>
      </c>
      <c r="I285" s="14" t="s">
        <v>1770</v>
      </c>
    </row>
    <row r="286" spans="1:9" ht="43.5" x14ac:dyDescent="0.35">
      <c r="A286" s="18" t="s">
        <v>737</v>
      </c>
      <c r="B286" s="14" t="s">
        <v>546</v>
      </c>
      <c r="C286" s="14" t="s">
        <v>1771</v>
      </c>
      <c r="D286" s="14">
        <v>0</v>
      </c>
      <c r="F286" s="23" t="s">
        <v>19</v>
      </c>
      <c r="G286" s="14" t="s">
        <v>1210</v>
      </c>
      <c r="H286" s="14" t="s">
        <v>749</v>
      </c>
      <c r="I286" s="14" t="s">
        <v>1772</v>
      </c>
    </row>
    <row r="287" spans="1:9" ht="58" x14ac:dyDescent="0.35">
      <c r="A287" s="18" t="s">
        <v>737</v>
      </c>
      <c r="B287" s="14" t="s">
        <v>1773</v>
      </c>
      <c r="C287" s="14" t="s">
        <v>1774</v>
      </c>
      <c r="D287" s="14">
        <v>1</v>
      </c>
      <c r="F287" s="23" t="s">
        <v>1847</v>
      </c>
      <c r="G287" s="14" t="s">
        <v>1210</v>
      </c>
      <c r="H287" s="14" t="s">
        <v>1758</v>
      </c>
      <c r="I287" s="14" t="s">
        <v>1775</v>
      </c>
    </row>
    <row r="288" spans="1:9" ht="43.5" x14ac:dyDescent="0.35">
      <c r="A288" s="18" t="s">
        <v>737</v>
      </c>
      <c r="B288" s="14" t="s">
        <v>47</v>
      </c>
      <c r="C288" s="14" t="s">
        <v>1776</v>
      </c>
      <c r="D288" s="14">
        <v>0</v>
      </c>
      <c r="F288" s="23" t="s">
        <v>77</v>
      </c>
      <c r="G288" s="14" t="s">
        <v>1210</v>
      </c>
      <c r="H288" s="14" t="s">
        <v>749</v>
      </c>
      <c r="I288" s="14" t="s">
        <v>1777</v>
      </c>
    </row>
    <row r="289" spans="1:9" ht="58" x14ac:dyDescent="0.35">
      <c r="A289" s="18" t="s">
        <v>737</v>
      </c>
      <c r="B289" s="14" t="s">
        <v>1028</v>
      </c>
      <c r="C289" s="14" t="s">
        <v>1029</v>
      </c>
      <c r="D289" s="14">
        <v>1</v>
      </c>
      <c r="E289" s="23" t="s">
        <v>1849</v>
      </c>
      <c r="F289" s="23" t="s">
        <v>745</v>
      </c>
      <c r="G289" s="14" t="s">
        <v>1210</v>
      </c>
      <c r="H289" s="14" t="s">
        <v>794</v>
      </c>
      <c r="I289" s="14" t="s">
        <v>1030</v>
      </c>
    </row>
    <row r="290" spans="1:9" ht="43.5" x14ac:dyDescent="0.35">
      <c r="A290" s="18" t="s">
        <v>737</v>
      </c>
      <c r="B290" s="14" t="s">
        <v>1519</v>
      </c>
      <c r="C290" s="14" t="s">
        <v>1778</v>
      </c>
      <c r="D290" s="14">
        <v>1</v>
      </c>
      <c r="E290" s="23" t="s">
        <v>336</v>
      </c>
      <c r="F290" s="23" t="s">
        <v>40</v>
      </c>
      <c r="G290" s="14" t="s">
        <v>1210</v>
      </c>
      <c r="H290" s="14" t="s">
        <v>749</v>
      </c>
      <c r="I290" s="14" t="s">
        <v>1779</v>
      </c>
    </row>
    <row r="291" spans="1:9" ht="43.5" x14ac:dyDescent="0.35">
      <c r="A291" s="18" t="s">
        <v>737</v>
      </c>
      <c r="B291" s="14" t="s">
        <v>1780</v>
      </c>
      <c r="C291" s="14" t="s">
        <v>1781</v>
      </c>
      <c r="D291" s="14">
        <v>1</v>
      </c>
      <c r="F291" s="23" t="s">
        <v>1847</v>
      </c>
      <c r="G291" s="14" t="s">
        <v>1210</v>
      </c>
      <c r="H291" s="14" t="s">
        <v>1758</v>
      </c>
      <c r="I291" s="14" t="s">
        <v>1775</v>
      </c>
    </row>
    <row r="292" spans="1:9" ht="43.5" x14ac:dyDescent="0.35">
      <c r="A292" s="18" t="s">
        <v>737</v>
      </c>
      <c r="B292" s="14" t="s">
        <v>814</v>
      </c>
      <c r="C292" s="14" t="s">
        <v>815</v>
      </c>
      <c r="D292" s="14">
        <v>1</v>
      </c>
      <c r="F292" s="23" t="s">
        <v>1803</v>
      </c>
      <c r="G292" s="14" t="s">
        <v>1210</v>
      </c>
      <c r="H292" s="14" t="s">
        <v>818</v>
      </c>
      <c r="I292" s="14" t="s">
        <v>819</v>
      </c>
    </row>
    <row r="293" spans="1:9" ht="58" x14ac:dyDescent="0.35">
      <c r="A293" s="18" t="s">
        <v>737</v>
      </c>
      <c r="B293" s="14" t="s">
        <v>1782</v>
      </c>
      <c r="C293" s="14" t="s">
        <v>1783</v>
      </c>
      <c r="D293" s="14">
        <v>1</v>
      </c>
      <c r="F293" s="23" t="s">
        <v>40</v>
      </c>
      <c r="G293" s="14" t="s">
        <v>1210</v>
      </c>
      <c r="H293" s="14" t="s">
        <v>749</v>
      </c>
      <c r="I293" s="14" t="s">
        <v>1784</v>
      </c>
    </row>
    <row r="294" spans="1:9" ht="29" x14ac:dyDescent="0.35">
      <c r="A294" s="18" t="s">
        <v>737</v>
      </c>
      <c r="B294" s="14" t="s">
        <v>59</v>
      </c>
      <c r="C294" s="14" t="s">
        <v>1785</v>
      </c>
      <c r="D294" s="14">
        <v>1</v>
      </c>
      <c r="F294" s="23" t="s">
        <v>19</v>
      </c>
      <c r="G294" s="14" t="s">
        <v>1210</v>
      </c>
      <c r="H294" s="14" t="s">
        <v>749</v>
      </c>
      <c r="I294" s="14" t="s">
        <v>1786</v>
      </c>
    </row>
    <row r="295" spans="1:9" ht="43.5" x14ac:dyDescent="0.35">
      <c r="A295" s="18" t="s">
        <v>737</v>
      </c>
      <c r="B295" s="14" t="s">
        <v>1242</v>
      </c>
      <c r="C295" s="14" t="s">
        <v>1787</v>
      </c>
      <c r="D295" s="14">
        <v>0</v>
      </c>
      <c r="F295" s="23" t="s">
        <v>77</v>
      </c>
      <c r="G295" s="14" t="s">
        <v>1210</v>
      </c>
      <c r="H295" s="14" t="s">
        <v>749</v>
      </c>
      <c r="I295" s="14" t="s">
        <v>1788</v>
      </c>
    </row>
    <row r="296" spans="1:9" ht="72.5" x14ac:dyDescent="0.35">
      <c r="A296" s="18" t="s">
        <v>737</v>
      </c>
      <c r="B296" s="14" t="s">
        <v>342</v>
      </c>
      <c r="C296" s="14" t="s">
        <v>1789</v>
      </c>
      <c r="D296" s="14">
        <v>0</v>
      </c>
      <c r="E296" s="23" t="s">
        <v>1850</v>
      </c>
      <c r="F296" s="23" t="s">
        <v>19</v>
      </c>
      <c r="G296" s="14" t="s">
        <v>1210</v>
      </c>
      <c r="H296" s="14" t="s">
        <v>749</v>
      </c>
      <c r="I296" s="14" t="s">
        <v>1790</v>
      </c>
    </row>
    <row r="297" spans="1:9" ht="58" x14ac:dyDescent="0.35">
      <c r="A297" s="18" t="s">
        <v>737</v>
      </c>
      <c r="B297" s="14" t="s">
        <v>218</v>
      </c>
      <c r="C297" s="14" t="s">
        <v>957</v>
      </c>
      <c r="D297" s="14">
        <v>0</v>
      </c>
      <c r="F297" s="23" t="s">
        <v>77</v>
      </c>
      <c r="G297" s="14" t="s">
        <v>1210</v>
      </c>
      <c r="H297" s="14" t="s">
        <v>749</v>
      </c>
      <c r="I297" s="14" t="s">
        <v>958</v>
      </c>
    </row>
    <row r="298" spans="1:9" ht="29" x14ac:dyDescent="0.35">
      <c r="A298" s="18" t="s">
        <v>737</v>
      </c>
      <c r="B298" s="14" t="s">
        <v>1791</v>
      </c>
      <c r="C298" s="14" t="s">
        <v>1792</v>
      </c>
      <c r="D298" s="14">
        <v>0</v>
      </c>
      <c r="F298" s="23" t="s">
        <v>740</v>
      </c>
      <c r="G298" s="14" t="s">
        <v>1210</v>
      </c>
      <c r="H298" s="14" t="s">
        <v>794</v>
      </c>
      <c r="I298" s="14" t="s">
        <v>1793</v>
      </c>
    </row>
    <row r="299" spans="1:9" ht="58" x14ac:dyDescent="0.35">
      <c r="A299" s="18" t="s">
        <v>737</v>
      </c>
      <c r="B299" s="14" t="s">
        <v>994</v>
      </c>
      <c r="C299" s="23" t="s">
        <v>1794</v>
      </c>
      <c r="D299" s="14">
        <v>0</v>
      </c>
      <c r="E299" s="23" t="s">
        <v>1851</v>
      </c>
      <c r="F299" s="23" t="s">
        <v>1852</v>
      </c>
      <c r="G299" s="14" t="s">
        <v>1210</v>
      </c>
      <c r="H299" s="14" t="s">
        <v>749</v>
      </c>
      <c r="I299" s="14" t="s">
        <v>1795</v>
      </c>
    </row>
    <row r="300" spans="1:9" ht="29" x14ac:dyDescent="0.35">
      <c r="A300" s="18" t="s">
        <v>737</v>
      </c>
      <c r="B300" s="14" t="s">
        <v>1796</v>
      </c>
      <c r="C300" s="14" t="s">
        <v>1797</v>
      </c>
      <c r="D300" s="14">
        <v>1</v>
      </c>
      <c r="F300" s="23" t="s">
        <v>745</v>
      </c>
      <c r="G300" s="14" t="s">
        <v>1210</v>
      </c>
      <c r="H300" s="14" t="s">
        <v>794</v>
      </c>
      <c r="I300" s="14" t="s">
        <v>1798</v>
      </c>
    </row>
    <row r="301" spans="1:9" ht="58" x14ac:dyDescent="0.35">
      <c r="A301" s="18" t="s">
        <v>737</v>
      </c>
      <c r="B301" s="14" t="s">
        <v>1799</v>
      </c>
      <c r="C301" s="14" t="s">
        <v>1800</v>
      </c>
      <c r="D301" s="14">
        <v>1</v>
      </c>
      <c r="F301" s="23" t="s">
        <v>1803</v>
      </c>
      <c r="G301" s="14" t="s">
        <v>1210</v>
      </c>
      <c r="H301" s="14" t="s">
        <v>818</v>
      </c>
      <c r="I301" s="14" t="s">
        <v>1801</v>
      </c>
    </row>
  </sheetData>
  <autoFilter ref="G1:G301" xr:uid="{0ADDD236-8FD9-4EB7-B84F-9F0E8461F969}">
    <filterColumn colId="0">
      <filters>
        <filter val="new"/>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Annotations (unbalanced)</vt:lpstr>
      <vt:lpstr>Annotations (split)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Rodríguez</dc:creator>
  <cp:lastModifiedBy>Adriana Rodríguez Flórez</cp:lastModifiedBy>
  <dcterms:created xsi:type="dcterms:W3CDTF">2026-01-29T08:39:08Z</dcterms:created>
  <dcterms:modified xsi:type="dcterms:W3CDTF">2026-02-04T18:02:29Z</dcterms:modified>
</cp:coreProperties>
</file>